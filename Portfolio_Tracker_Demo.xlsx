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\Downloads\Trabajo\Portfolio Tracker - Excel\"/>
    </mc:Choice>
  </mc:AlternateContent>
  <xr:revisionPtr revIDLastSave="0" documentId="13_ncr:1_{396FF8FE-19FF-44B4-8AE9-758C2DB5306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Instructions" sheetId="30" r:id="rId1"/>
    <sheet name="Price_Input" sheetId="3" r:id="rId2"/>
    <sheet name="Summary" sheetId="20" r:id="rId3"/>
    <sheet name="Ticker_Performance" sheetId="27" r:id="rId4"/>
    <sheet name="Monthly_Performance" sheetId="22" r:id="rId5"/>
    <sheet name="Annual_Performance" sheetId="29" r:id="rId6"/>
    <sheet name="Closed_Positions" sheetId="6" r:id="rId7"/>
    <sheet name="Transactions" sheetId="1" r:id="rId8"/>
    <sheet name="Corporate_Actions" sheetId="7" r:id="rId9"/>
    <sheet name="Taxes" sheetId="9" r:id="rId10"/>
    <sheet name="Cash_Ledger" sheetId="5" r:id="rId11"/>
    <sheet name="Price_History" sheetId="4" r:id="rId12"/>
    <sheet name="FX_History" sheetId="12" r:id="rId13"/>
    <sheet name="Cash_History" sheetId="14" r:id="rId14"/>
    <sheet name="_Ticker_List" sheetId="25" state="veryHidden" r:id="rId15"/>
    <sheet name="_Ticker_Month_List" sheetId="28" state="veryHidden" r:id="rId16"/>
    <sheet name="Positions" sheetId="31" state="veryHidden" r:id="rId17"/>
  </sheets>
  <definedNames>
    <definedName name="_xlnm._FilterDatabase" localSheetId="10" hidden="1">Cash_Ledger!$A$2:$O$1002</definedName>
    <definedName name="_xlnm._FilterDatabase" localSheetId="11" hidden="1">Price_History!$A$2:$E$226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3" l="1"/>
  <c r="K13" i="3"/>
  <c r="K12" i="3"/>
  <c r="K15" i="3" l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E21" i="3"/>
  <c r="O1002" i="5" l="1" a="1"/>
  <c r="O1002" i="5" s="1"/>
  <c r="O1001" i="5" a="1"/>
  <c r="O1001" i="5" s="1"/>
  <c r="O1000" i="5" a="1"/>
  <c r="O1000" i="5" s="1"/>
  <c r="O999" i="5" a="1"/>
  <c r="O999" i="5" s="1"/>
  <c r="O998" i="5" a="1"/>
  <c r="O998" i="5" s="1"/>
  <c r="O997" i="5" a="1"/>
  <c r="O997" i="5" s="1"/>
  <c r="O996" i="5" a="1"/>
  <c r="O996" i="5" s="1"/>
  <c r="O995" i="5" a="1"/>
  <c r="O995" i="5" s="1"/>
  <c r="O994" i="5" a="1"/>
  <c r="O994" i="5" s="1"/>
  <c r="O993" i="5" a="1"/>
  <c r="O993" i="5" s="1"/>
  <c r="O992" i="5" a="1"/>
  <c r="O992" i="5" s="1"/>
  <c r="O991" i="5" a="1"/>
  <c r="O991" i="5" s="1"/>
  <c r="O990" i="5" a="1"/>
  <c r="O990" i="5" s="1"/>
  <c r="O989" i="5" a="1"/>
  <c r="O989" i="5" s="1"/>
  <c r="O988" i="5" a="1"/>
  <c r="O988" i="5" s="1"/>
  <c r="O987" i="5" a="1"/>
  <c r="O987" i="5" s="1"/>
  <c r="O986" i="5" a="1"/>
  <c r="O986" i="5" s="1"/>
  <c r="O985" i="5" a="1"/>
  <c r="O985" i="5" s="1"/>
  <c r="O984" i="5" a="1"/>
  <c r="O984" i="5" s="1"/>
  <c r="O983" i="5" a="1"/>
  <c r="O983" i="5" s="1"/>
  <c r="O982" i="5" a="1"/>
  <c r="O982" i="5" s="1"/>
  <c r="O981" i="5" a="1"/>
  <c r="O981" i="5" s="1"/>
  <c r="O980" i="5" a="1"/>
  <c r="O980" i="5" s="1"/>
  <c r="O979" i="5" a="1"/>
  <c r="O979" i="5" s="1"/>
  <c r="O978" i="5" a="1"/>
  <c r="O978" i="5" s="1"/>
  <c r="O977" i="5" a="1"/>
  <c r="O977" i="5" s="1"/>
  <c r="O976" i="5" a="1"/>
  <c r="O976" i="5" s="1"/>
  <c r="O975" i="5" a="1"/>
  <c r="O975" i="5" s="1"/>
  <c r="O974" i="5" a="1"/>
  <c r="O974" i="5" s="1"/>
  <c r="O973" i="5" a="1"/>
  <c r="O973" i="5" s="1"/>
  <c r="O972" i="5" a="1"/>
  <c r="O972" i="5" s="1"/>
  <c r="O971" i="5" a="1"/>
  <c r="O971" i="5" s="1"/>
  <c r="O970" i="5" a="1"/>
  <c r="O970" i="5" s="1"/>
  <c r="O969" i="5" a="1"/>
  <c r="O969" i="5" s="1"/>
  <c r="O968" i="5" a="1"/>
  <c r="O968" i="5" s="1"/>
  <c r="O967" i="5" a="1"/>
  <c r="O967" i="5" s="1"/>
  <c r="O966" i="5" a="1"/>
  <c r="O966" i="5" s="1"/>
  <c r="O965" i="5" a="1"/>
  <c r="O965" i="5" s="1"/>
  <c r="O964" i="5" a="1"/>
  <c r="O964" i="5" s="1"/>
  <c r="O963" i="5" a="1"/>
  <c r="O963" i="5" s="1"/>
  <c r="O962" i="5" a="1"/>
  <c r="O962" i="5" s="1"/>
  <c r="O961" i="5" a="1"/>
  <c r="O961" i="5" s="1"/>
  <c r="O960" i="5" a="1"/>
  <c r="O960" i="5" s="1"/>
  <c r="O959" i="5" a="1"/>
  <c r="O959" i="5" s="1"/>
  <c r="O958" i="5" a="1"/>
  <c r="O958" i="5" s="1"/>
  <c r="O957" i="5" a="1"/>
  <c r="O957" i="5" s="1"/>
  <c r="O956" i="5" a="1"/>
  <c r="O956" i="5" s="1"/>
  <c r="O955" i="5" a="1"/>
  <c r="O955" i="5" s="1"/>
  <c r="O954" i="5" a="1"/>
  <c r="O954" i="5" s="1"/>
  <c r="O953" i="5" a="1"/>
  <c r="O953" i="5" s="1"/>
  <c r="O952" i="5" a="1"/>
  <c r="O952" i="5" s="1"/>
  <c r="O951" i="5" a="1"/>
  <c r="O951" i="5" s="1"/>
  <c r="O950" i="5" a="1"/>
  <c r="O950" i="5" s="1"/>
  <c r="O949" i="5" a="1"/>
  <c r="O949" i="5" s="1"/>
  <c r="O948" i="5" a="1"/>
  <c r="O948" i="5" s="1"/>
  <c r="O947" i="5" a="1"/>
  <c r="O947" i="5" s="1"/>
  <c r="O946" i="5" a="1"/>
  <c r="O946" i="5" s="1"/>
  <c r="O945" i="5" a="1"/>
  <c r="O945" i="5" s="1"/>
  <c r="O944" i="5" a="1"/>
  <c r="O944" i="5" s="1"/>
  <c r="O943" i="5" a="1"/>
  <c r="O943" i="5" s="1"/>
  <c r="O942" i="5" a="1"/>
  <c r="O942" i="5" s="1"/>
  <c r="O941" i="5" a="1"/>
  <c r="O941" i="5" s="1"/>
  <c r="O940" i="5" a="1"/>
  <c r="O940" i="5" s="1"/>
  <c r="O939" i="5" a="1"/>
  <c r="O939" i="5" s="1"/>
  <c r="O938" i="5" a="1"/>
  <c r="O938" i="5" s="1"/>
  <c r="O937" i="5" a="1"/>
  <c r="O937" i="5" s="1"/>
  <c r="O936" i="5" a="1"/>
  <c r="O936" i="5" s="1"/>
  <c r="O935" i="5" a="1"/>
  <c r="O935" i="5" s="1"/>
  <c r="O934" i="5" a="1"/>
  <c r="O934" i="5" s="1"/>
  <c r="O933" i="5" a="1"/>
  <c r="O933" i="5" s="1"/>
  <c r="O932" i="5" a="1"/>
  <c r="O932" i="5" s="1"/>
  <c r="O931" i="5" a="1"/>
  <c r="O931" i="5" s="1"/>
  <c r="O930" i="5" a="1"/>
  <c r="O930" i="5" s="1"/>
  <c r="O929" i="5" a="1"/>
  <c r="O929" i="5" s="1"/>
  <c r="O928" i="5" a="1"/>
  <c r="O928" i="5" s="1"/>
  <c r="O927" i="5" a="1"/>
  <c r="O927" i="5" s="1"/>
  <c r="O926" i="5" a="1"/>
  <c r="O926" i="5" s="1"/>
  <c r="O925" i="5" a="1"/>
  <c r="O925" i="5" s="1"/>
  <c r="O924" i="5" a="1"/>
  <c r="O924" i="5" s="1"/>
  <c r="O923" i="5" a="1"/>
  <c r="O923" i="5" s="1"/>
  <c r="O922" i="5" a="1"/>
  <c r="O922" i="5" s="1"/>
  <c r="O921" i="5" a="1"/>
  <c r="O921" i="5" s="1"/>
  <c r="O920" i="5" a="1"/>
  <c r="O920" i="5" s="1"/>
  <c r="O919" i="5" a="1"/>
  <c r="O919" i="5" s="1"/>
  <c r="O918" i="5" a="1"/>
  <c r="O918" i="5" s="1"/>
  <c r="O917" i="5" a="1"/>
  <c r="O917" i="5" s="1"/>
  <c r="O916" i="5" a="1"/>
  <c r="O916" i="5" s="1"/>
  <c r="O915" i="5" a="1"/>
  <c r="O915" i="5" s="1"/>
  <c r="O914" i="5" a="1"/>
  <c r="O914" i="5" s="1"/>
  <c r="O913" i="5" a="1"/>
  <c r="O913" i="5" s="1"/>
  <c r="O912" i="5" a="1"/>
  <c r="O912" i="5" s="1"/>
  <c r="O911" i="5" a="1"/>
  <c r="O911" i="5" s="1"/>
  <c r="O910" i="5" a="1"/>
  <c r="O910" i="5" s="1"/>
  <c r="O909" i="5" a="1"/>
  <c r="O909" i="5" s="1"/>
  <c r="O908" i="5" a="1"/>
  <c r="O908" i="5" s="1"/>
  <c r="O907" i="5" a="1"/>
  <c r="O907" i="5" s="1"/>
  <c r="O906" i="5" a="1"/>
  <c r="O906" i="5" s="1"/>
  <c r="O905" i="5" a="1"/>
  <c r="O905" i="5" s="1"/>
  <c r="O904" i="5" a="1"/>
  <c r="O904" i="5" s="1"/>
  <c r="O903" i="5" a="1"/>
  <c r="O903" i="5" s="1"/>
  <c r="O902" i="5" a="1"/>
  <c r="O902" i="5" s="1"/>
  <c r="O901" i="5" a="1"/>
  <c r="O901" i="5" s="1"/>
  <c r="O900" i="5" a="1"/>
  <c r="O900" i="5" s="1"/>
  <c r="O899" i="5" a="1"/>
  <c r="O899" i="5" s="1"/>
  <c r="O898" i="5" a="1"/>
  <c r="O898" i="5" s="1"/>
  <c r="O897" i="5" a="1"/>
  <c r="O897" i="5" s="1"/>
  <c r="O896" i="5" a="1"/>
  <c r="O896" i="5" s="1"/>
  <c r="O895" i="5" a="1"/>
  <c r="O895" i="5" s="1"/>
  <c r="O894" i="5" a="1"/>
  <c r="O894" i="5" s="1"/>
  <c r="O893" i="5" a="1"/>
  <c r="O893" i="5" s="1"/>
  <c r="O892" i="5" a="1"/>
  <c r="O892" i="5" s="1"/>
  <c r="O891" i="5" a="1"/>
  <c r="O891" i="5" s="1"/>
  <c r="O890" i="5" a="1"/>
  <c r="O890" i="5" s="1"/>
  <c r="O889" i="5" a="1"/>
  <c r="O889" i="5" s="1"/>
  <c r="O888" i="5" a="1"/>
  <c r="O888" i="5" s="1"/>
  <c r="O887" i="5" a="1"/>
  <c r="O887" i="5" s="1"/>
  <c r="O886" i="5" a="1"/>
  <c r="O886" i="5" s="1"/>
  <c r="O885" i="5" a="1"/>
  <c r="O885" i="5" s="1"/>
  <c r="O884" i="5" a="1"/>
  <c r="O884" i="5" s="1"/>
  <c r="O883" i="5" a="1"/>
  <c r="O883" i="5" s="1"/>
  <c r="O882" i="5" a="1"/>
  <c r="O882" i="5" s="1"/>
  <c r="O881" i="5" a="1"/>
  <c r="O881" i="5" s="1"/>
  <c r="O880" i="5" a="1"/>
  <c r="O880" i="5" s="1"/>
  <c r="O879" i="5" a="1"/>
  <c r="O879" i="5" s="1"/>
  <c r="O878" i="5" a="1"/>
  <c r="O878" i="5" s="1"/>
  <c r="O877" i="5" a="1"/>
  <c r="O877" i="5" s="1"/>
  <c r="O876" i="5" a="1"/>
  <c r="O876" i="5" s="1"/>
  <c r="O875" i="5" a="1"/>
  <c r="O875" i="5" s="1"/>
  <c r="O874" i="5" a="1"/>
  <c r="O874" i="5" s="1"/>
  <c r="O873" i="5" a="1"/>
  <c r="O873" i="5" s="1"/>
  <c r="O872" i="5" a="1"/>
  <c r="O872" i="5" s="1"/>
  <c r="O871" i="5" a="1"/>
  <c r="O871" i="5" s="1"/>
  <c r="O870" i="5" a="1"/>
  <c r="O870" i="5" s="1"/>
  <c r="O869" i="5" a="1"/>
  <c r="O869" i="5" s="1"/>
  <c r="O868" i="5" a="1"/>
  <c r="O868" i="5" s="1"/>
  <c r="O867" i="5" a="1"/>
  <c r="O867" i="5" s="1"/>
  <c r="O866" i="5" a="1"/>
  <c r="O866" i="5" s="1"/>
  <c r="O865" i="5" a="1"/>
  <c r="O865" i="5" s="1"/>
  <c r="O864" i="5" a="1"/>
  <c r="O864" i="5" s="1"/>
  <c r="O863" i="5" a="1"/>
  <c r="O863" i="5" s="1"/>
  <c r="O862" i="5" a="1"/>
  <c r="O862" i="5" s="1"/>
  <c r="O861" i="5" a="1"/>
  <c r="O861" i="5" s="1"/>
  <c r="O860" i="5" a="1"/>
  <c r="O860" i="5" s="1"/>
  <c r="O859" i="5" a="1"/>
  <c r="O859" i="5" s="1"/>
  <c r="O858" i="5" a="1"/>
  <c r="O858" i="5" s="1"/>
  <c r="O857" i="5" a="1"/>
  <c r="O857" i="5" s="1"/>
  <c r="O856" i="5" a="1"/>
  <c r="O856" i="5" s="1"/>
  <c r="O855" i="5" a="1"/>
  <c r="O855" i="5" s="1"/>
  <c r="O854" i="5" a="1"/>
  <c r="O854" i="5" s="1"/>
  <c r="O853" i="5" a="1"/>
  <c r="O853" i="5" s="1"/>
  <c r="O852" i="5" a="1"/>
  <c r="O852" i="5" s="1"/>
  <c r="O851" i="5" a="1"/>
  <c r="O851" i="5" s="1"/>
  <c r="O850" i="5" a="1"/>
  <c r="O850" i="5" s="1"/>
  <c r="O849" i="5" a="1"/>
  <c r="O849" i="5" s="1"/>
  <c r="O848" i="5" a="1"/>
  <c r="O848" i="5" s="1"/>
  <c r="O847" i="5" a="1"/>
  <c r="O847" i="5" s="1"/>
  <c r="O846" i="5" a="1"/>
  <c r="O846" i="5" s="1"/>
  <c r="O845" i="5" a="1"/>
  <c r="O845" i="5" s="1"/>
  <c r="O844" i="5" a="1"/>
  <c r="O844" i="5" s="1"/>
  <c r="O843" i="5" a="1"/>
  <c r="O843" i="5" s="1"/>
  <c r="O842" i="5" a="1"/>
  <c r="O842" i="5" s="1"/>
  <c r="O841" i="5" a="1"/>
  <c r="O841" i="5" s="1"/>
  <c r="O840" i="5" a="1"/>
  <c r="O840" i="5" s="1"/>
  <c r="O839" i="5" a="1"/>
  <c r="O839" i="5" s="1"/>
  <c r="O838" i="5" a="1"/>
  <c r="O838" i="5" s="1"/>
  <c r="O837" i="5" a="1"/>
  <c r="O837" i="5" s="1"/>
  <c r="O836" i="5" a="1"/>
  <c r="O836" i="5" s="1"/>
  <c r="O835" i="5" a="1"/>
  <c r="O835" i="5" s="1"/>
  <c r="O834" i="5" a="1"/>
  <c r="O834" i="5" s="1"/>
  <c r="O833" i="5" a="1"/>
  <c r="O833" i="5" s="1"/>
  <c r="O832" i="5" a="1"/>
  <c r="O832" i="5" s="1"/>
  <c r="O831" i="5" a="1"/>
  <c r="O831" i="5" s="1"/>
  <c r="O830" i="5" a="1"/>
  <c r="O830" i="5" s="1"/>
  <c r="O829" i="5" a="1"/>
  <c r="O829" i="5" s="1"/>
  <c r="O828" i="5" a="1"/>
  <c r="O828" i="5" s="1"/>
  <c r="O827" i="5" a="1"/>
  <c r="O827" i="5" s="1"/>
  <c r="O826" i="5" a="1"/>
  <c r="O826" i="5" s="1"/>
  <c r="O825" i="5" a="1"/>
  <c r="O825" i="5" s="1"/>
  <c r="O824" i="5" a="1"/>
  <c r="O824" i="5" s="1"/>
  <c r="O823" i="5" a="1"/>
  <c r="O823" i="5" s="1"/>
  <c r="O822" i="5" a="1"/>
  <c r="O822" i="5" s="1"/>
  <c r="O821" i="5" a="1"/>
  <c r="O821" i="5" s="1"/>
  <c r="O820" i="5" a="1"/>
  <c r="O820" i="5" s="1"/>
  <c r="O819" i="5" a="1"/>
  <c r="O819" i="5" s="1"/>
  <c r="O818" i="5" a="1"/>
  <c r="O818" i="5" s="1"/>
  <c r="O817" i="5" a="1"/>
  <c r="O817" i="5" s="1"/>
  <c r="O816" i="5" a="1"/>
  <c r="O816" i="5" s="1"/>
  <c r="O815" i="5" a="1"/>
  <c r="O815" i="5" s="1"/>
  <c r="O814" i="5" a="1"/>
  <c r="O814" i="5" s="1"/>
  <c r="O813" i="5" a="1"/>
  <c r="O813" i="5" s="1"/>
  <c r="O812" i="5" a="1"/>
  <c r="O812" i="5" s="1"/>
  <c r="O811" i="5" a="1"/>
  <c r="O811" i="5" s="1"/>
  <c r="O810" i="5" a="1"/>
  <c r="O810" i="5" s="1"/>
  <c r="O809" i="5" a="1"/>
  <c r="O809" i="5" s="1"/>
  <c r="O808" i="5" a="1"/>
  <c r="O808" i="5" s="1"/>
  <c r="O807" i="5" a="1"/>
  <c r="O807" i="5" s="1"/>
  <c r="O806" i="5" a="1"/>
  <c r="O806" i="5" s="1"/>
  <c r="O805" i="5" a="1"/>
  <c r="O805" i="5" s="1"/>
  <c r="O804" i="5" a="1"/>
  <c r="O804" i="5" s="1"/>
  <c r="O803" i="5" a="1"/>
  <c r="O803" i="5" s="1"/>
  <c r="O802" i="5" a="1"/>
  <c r="O802" i="5" s="1"/>
  <c r="O801" i="5" a="1"/>
  <c r="O801" i="5" s="1"/>
  <c r="O800" i="5" a="1"/>
  <c r="O800" i="5" s="1"/>
  <c r="O799" i="5" a="1"/>
  <c r="O799" i="5" s="1"/>
  <c r="O798" i="5" a="1"/>
  <c r="O798" i="5" s="1"/>
  <c r="O797" i="5" a="1"/>
  <c r="O797" i="5" s="1"/>
  <c r="O796" i="5" a="1"/>
  <c r="O796" i="5" s="1"/>
  <c r="O795" i="5" a="1"/>
  <c r="O795" i="5" s="1"/>
  <c r="O794" i="5" a="1"/>
  <c r="O794" i="5" s="1"/>
  <c r="O793" i="5" a="1"/>
  <c r="O793" i="5" s="1"/>
  <c r="O792" i="5" a="1"/>
  <c r="O792" i="5" s="1"/>
  <c r="O791" i="5" a="1"/>
  <c r="O791" i="5" s="1"/>
  <c r="O790" i="5" a="1"/>
  <c r="O790" i="5" s="1"/>
  <c r="O789" i="5" a="1"/>
  <c r="O789" i="5" s="1"/>
  <c r="O788" i="5" a="1"/>
  <c r="O788" i="5" s="1"/>
  <c r="O787" i="5" a="1"/>
  <c r="O787" i="5" s="1"/>
  <c r="O786" i="5" a="1"/>
  <c r="O786" i="5" s="1"/>
  <c r="O785" i="5" a="1"/>
  <c r="O785" i="5" s="1"/>
  <c r="O784" i="5" a="1"/>
  <c r="O784" i="5" s="1"/>
  <c r="O783" i="5" a="1"/>
  <c r="O783" i="5" s="1"/>
  <c r="O782" i="5" a="1"/>
  <c r="O782" i="5" s="1"/>
  <c r="O781" i="5" a="1"/>
  <c r="O781" i="5" s="1"/>
  <c r="O780" i="5" a="1"/>
  <c r="O780" i="5" s="1"/>
  <c r="O779" i="5" a="1"/>
  <c r="O779" i="5" s="1"/>
  <c r="O778" i="5" a="1"/>
  <c r="O778" i="5" s="1"/>
  <c r="O777" i="5" a="1"/>
  <c r="O777" i="5" s="1"/>
  <c r="O776" i="5" a="1"/>
  <c r="O776" i="5" s="1"/>
  <c r="O775" i="5" a="1"/>
  <c r="O775" i="5" s="1"/>
  <c r="O774" i="5" a="1"/>
  <c r="O774" i="5" s="1"/>
  <c r="O773" i="5" a="1"/>
  <c r="O773" i="5" s="1"/>
  <c r="O772" i="5" a="1"/>
  <c r="O772" i="5" s="1"/>
  <c r="O771" i="5" a="1"/>
  <c r="O771" i="5" s="1"/>
  <c r="O770" i="5" a="1"/>
  <c r="O770" i="5" s="1"/>
  <c r="O769" i="5" a="1"/>
  <c r="O769" i="5" s="1"/>
  <c r="O768" i="5" a="1"/>
  <c r="O768" i="5" s="1"/>
  <c r="O767" i="5" a="1"/>
  <c r="O767" i="5" s="1"/>
  <c r="O766" i="5" a="1"/>
  <c r="O766" i="5" s="1"/>
  <c r="O765" i="5" a="1"/>
  <c r="O765" i="5" s="1"/>
  <c r="O764" i="5" a="1"/>
  <c r="O764" i="5" s="1"/>
  <c r="O763" i="5" a="1"/>
  <c r="O763" i="5" s="1"/>
  <c r="O762" i="5" a="1"/>
  <c r="O762" i="5" s="1"/>
  <c r="O761" i="5" a="1"/>
  <c r="O761" i="5" s="1"/>
  <c r="O760" i="5" a="1"/>
  <c r="O760" i="5" s="1"/>
  <c r="O759" i="5" a="1"/>
  <c r="O759" i="5" s="1"/>
  <c r="O758" i="5" a="1"/>
  <c r="O758" i="5" s="1"/>
  <c r="O757" i="5" a="1"/>
  <c r="O757" i="5" s="1"/>
  <c r="O756" i="5" a="1"/>
  <c r="O756" i="5" s="1"/>
  <c r="O755" i="5" a="1"/>
  <c r="O755" i="5" s="1"/>
  <c r="O754" i="5" a="1"/>
  <c r="O754" i="5" s="1"/>
  <c r="O753" i="5" a="1"/>
  <c r="O753" i="5" s="1"/>
  <c r="O752" i="5" a="1"/>
  <c r="O752" i="5" s="1"/>
  <c r="O751" i="5" a="1"/>
  <c r="O751" i="5" s="1"/>
  <c r="O750" i="5" a="1"/>
  <c r="O750" i="5" s="1"/>
  <c r="O749" i="5" a="1"/>
  <c r="O749" i="5" s="1"/>
  <c r="O748" i="5" a="1"/>
  <c r="O748" i="5" s="1"/>
  <c r="O747" i="5" a="1"/>
  <c r="O747" i="5" s="1"/>
  <c r="O746" i="5" a="1"/>
  <c r="O746" i="5" s="1"/>
  <c r="O745" i="5" a="1"/>
  <c r="O745" i="5" s="1"/>
  <c r="O744" i="5" a="1"/>
  <c r="O744" i="5" s="1"/>
  <c r="O743" i="5" a="1"/>
  <c r="O743" i="5" s="1"/>
  <c r="O742" i="5" a="1"/>
  <c r="O742" i="5" s="1"/>
  <c r="O741" i="5" a="1"/>
  <c r="O741" i="5" s="1"/>
  <c r="O740" i="5" a="1"/>
  <c r="O740" i="5" s="1"/>
  <c r="O739" i="5" a="1"/>
  <c r="O739" i="5" s="1"/>
  <c r="O738" i="5" a="1"/>
  <c r="O738" i="5" s="1"/>
  <c r="O737" i="5" a="1"/>
  <c r="O737" i="5" s="1"/>
  <c r="O736" i="5" a="1"/>
  <c r="O736" i="5" s="1"/>
  <c r="O735" i="5" a="1"/>
  <c r="O735" i="5" s="1"/>
  <c r="O734" i="5" a="1"/>
  <c r="O734" i="5" s="1"/>
  <c r="O733" i="5" a="1"/>
  <c r="O733" i="5" s="1"/>
  <c r="O732" i="5" a="1"/>
  <c r="O732" i="5" s="1"/>
  <c r="O731" i="5" a="1"/>
  <c r="O731" i="5" s="1"/>
  <c r="O730" i="5" a="1"/>
  <c r="O730" i="5" s="1"/>
  <c r="O729" i="5" a="1"/>
  <c r="O729" i="5" s="1"/>
  <c r="O728" i="5" a="1"/>
  <c r="O728" i="5" s="1"/>
  <c r="O727" i="5" a="1"/>
  <c r="O727" i="5" s="1"/>
  <c r="O726" i="5" a="1"/>
  <c r="O726" i="5" s="1"/>
  <c r="O725" i="5" a="1"/>
  <c r="O725" i="5" s="1"/>
  <c r="O724" i="5" a="1"/>
  <c r="O724" i="5" s="1"/>
  <c r="O723" i="5" a="1"/>
  <c r="O723" i="5" s="1"/>
  <c r="O722" i="5" a="1"/>
  <c r="O722" i="5" s="1"/>
  <c r="O721" i="5" a="1"/>
  <c r="O721" i="5" s="1"/>
  <c r="O720" i="5" a="1"/>
  <c r="O720" i="5" s="1"/>
  <c r="O719" i="5" a="1"/>
  <c r="O719" i="5" s="1"/>
  <c r="O718" i="5" a="1"/>
  <c r="O718" i="5" s="1"/>
  <c r="O717" i="5" a="1"/>
  <c r="O717" i="5" s="1"/>
  <c r="O716" i="5" a="1"/>
  <c r="O716" i="5" s="1"/>
  <c r="O715" i="5" a="1"/>
  <c r="O715" i="5" s="1"/>
  <c r="O714" i="5" a="1"/>
  <c r="O714" i="5" s="1"/>
  <c r="O713" i="5" a="1"/>
  <c r="O713" i="5" s="1"/>
  <c r="O712" i="5" a="1"/>
  <c r="O712" i="5" s="1"/>
  <c r="O711" i="5" a="1"/>
  <c r="O711" i="5" s="1"/>
  <c r="O710" i="5" a="1"/>
  <c r="O710" i="5" s="1"/>
  <c r="O709" i="5" a="1"/>
  <c r="O709" i="5" s="1"/>
  <c r="O708" i="5" a="1"/>
  <c r="O708" i="5" s="1"/>
  <c r="O707" i="5" a="1"/>
  <c r="O707" i="5" s="1"/>
  <c r="O706" i="5" a="1"/>
  <c r="O706" i="5" s="1"/>
  <c r="O705" i="5" a="1"/>
  <c r="O705" i="5" s="1"/>
  <c r="O704" i="5" a="1"/>
  <c r="O704" i="5" s="1"/>
  <c r="O703" i="5" a="1"/>
  <c r="O703" i="5" s="1"/>
  <c r="O702" i="5" a="1"/>
  <c r="O702" i="5" s="1"/>
  <c r="O701" i="5" a="1"/>
  <c r="O701" i="5" s="1"/>
  <c r="O700" i="5" a="1"/>
  <c r="O700" i="5" s="1"/>
  <c r="O699" i="5" a="1"/>
  <c r="O699" i="5" s="1"/>
  <c r="O698" i="5" a="1"/>
  <c r="O698" i="5" s="1"/>
  <c r="O697" i="5" a="1"/>
  <c r="O697" i="5" s="1"/>
  <c r="O696" i="5" a="1"/>
  <c r="O696" i="5" s="1"/>
  <c r="O695" i="5" a="1"/>
  <c r="O695" i="5" s="1"/>
  <c r="O694" i="5" a="1"/>
  <c r="O694" i="5" s="1"/>
  <c r="O693" i="5" a="1"/>
  <c r="O693" i="5" s="1"/>
  <c r="O692" i="5" a="1"/>
  <c r="O692" i="5" s="1"/>
  <c r="O691" i="5" a="1"/>
  <c r="O691" i="5" s="1"/>
  <c r="O690" i="5" a="1"/>
  <c r="O690" i="5" s="1"/>
  <c r="O689" i="5" a="1"/>
  <c r="O689" i="5" s="1"/>
  <c r="O688" i="5" a="1"/>
  <c r="O688" i="5" s="1"/>
  <c r="O687" i="5" a="1"/>
  <c r="O687" i="5" s="1"/>
  <c r="O686" i="5" a="1"/>
  <c r="O686" i="5" s="1"/>
  <c r="O685" i="5" a="1"/>
  <c r="O685" i="5" s="1"/>
  <c r="O684" i="5" a="1"/>
  <c r="O684" i="5" s="1"/>
  <c r="O683" i="5" a="1"/>
  <c r="O683" i="5" s="1"/>
  <c r="O682" i="5" a="1"/>
  <c r="O682" i="5" s="1"/>
  <c r="O681" i="5" a="1"/>
  <c r="O681" i="5" s="1"/>
  <c r="O680" i="5" a="1"/>
  <c r="O680" i="5" s="1"/>
  <c r="O679" i="5" a="1"/>
  <c r="O679" i="5" s="1"/>
  <c r="O678" i="5" a="1"/>
  <c r="O678" i="5" s="1"/>
  <c r="O677" i="5" a="1"/>
  <c r="O677" i="5" s="1"/>
  <c r="O676" i="5" a="1"/>
  <c r="O676" i="5" s="1"/>
  <c r="O675" i="5" a="1"/>
  <c r="O675" i="5" s="1"/>
  <c r="O674" i="5" a="1"/>
  <c r="O674" i="5" s="1"/>
  <c r="O673" i="5" a="1"/>
  <c r="O673" i="5" s="1"/>
  <c r="O672" i="5" a="1"/>
  <c r="O672" i="5" s="1"/>
  <c r="O671" i="5" a="1"/>
  <c r="O671" i="5" s="1"/>
  <c r="O670" i="5" a="1"/>
  <c r="O670" i="5" s="1"/>
  <c r="O669" i="5" a="1"/>
  <c r="O669" i="5" s="1"/>
  <c r="O668" i="5" a="1"/>
  <c r="O668" i="5" s="1"/>
  <c r="O667" i="5" a="1"/>
  <c r="O667" i="5" s="1"/>
  <c r="O666" i="5" a="1"/>
  <c r="O666" i="5" s="1"/>
  <c r="O665" i="5" a="1"/>
  <c r="O665" i="5" s="1"/>
  <c r="O664" i="5" a="1"/>
  <c r="O664" i="5" s="1"/>
  <c r="O663" i="5" a="1"/>
  <c r="O663" i="5" s="1"/>
  <c r="O662" i="5" a="1"/>
  <c r="O662" i="5" s="1"/>
  <c r="O661" i="5" a="1"/>
  <c r="O661" i="5" s="1"/>
  <c r="O660" i="5" a="1"/>
  <c r="O660" i="5" s="1"/>
  <c r="O659" i="5" a="1"/>
  <c r="O659" i="5" s="1"/>
  <c r="O658" i="5" a="1"/>
  <c r="O658" i="5" s="1"/>
  <c r="O657" i="5" a="1"/>
  <c r="O657" i="5" s="1"/>
  <c r="O656" i="5" a="1"/>
  <c r="O656" i="5" s="1"/>
  <c r="O655" i="5" a="1"/>
  <c r="O655" i="5" s="1"/>
  <c r="O654" i="5" a="1"/>
  <c r="O654" i="5" s="1"/>
  <c r="O653" i="5" a="1"/>
  <c r="O653" i="5" s="1"/>
  <c r="O652" i="5" a="1"/>
  <c r="O652" i="5" s="1"/>
  <c r="O651" i="5" a="1"/>
  <c r="O651" i="5" s="1"/>
  <c r="O650" i="5" a="1"/>
  <c r="O650" i="5" s="1"/>
  <c r="O649" i="5" a="1"/>
  <c r="O649" i="5" s="1"/>
  <c r="O648" i="5" a="1"/>
  <c r="O648" i="5" s="1"/>
  <c r="O647" i="5" a="1"/>
  <c r="O647" i="5" s="1"/>
  <c r="O646" i="5" a="1"/>
  <c r="O646" i="5" s="1"/>
  <c r="O645" i="5" a="1"/>
  <c r="O645" i="5" s="1"/>
  <c r="O644" i="5" a="1"/>
  <c r="O644" i="5" s="1"/>
  <c r="O643" i="5" a="1"/>
  <c r="O643" i="5" s="1"/>
  <c r="O642" i="5" a="1"/>
  <c r="O642" i="5" s="1"/>
  <c r="O641" i="5" a="1"/>
  <c r="O641" i="5" s="1"/>
  <c r="O640" i="5" a="1"/>
  <c r="O640" i="5" s="1"/>
  <c r="O639" i="5" a="1"/>
  <c r="O639" i="5" s="1"/>
  <c r="O638" i="5" a="1"/>
  <c r="O638" i="5" s="1"/>
  <c r="O637" i="5" a="1"/>
  <c r="O637" i="5" s="1"/>
  <c r="O636" i="5" a="1"/>
  <c r="O636" i="5" s="1"/>
  <c r="O635" i="5" a="1"/>
  <c r="O635" i="5" s="1"/>
  <c r="O634" i="5" a="1"/>
  <c r="O634" i="5" s="1"/>
  <c r="O633" i="5" a="1"/>
  <c r="O633" i="5" s="1"/>
  <c r="O632" i="5" a="1"/>
  <c r="O632" i="5" s="1"/>
  <c r="O631" i="5" a="1"/>
  <c r="O631" i="5" s="1"/>
  <c r="O630" i="5" a="1"/>
  <c r="O630" i="5" s="1"/>
  <c r="O629" i="5" a="1"/>
  <c r="O629" i="5" s="1"/>
  <c r="O628" i="5" a="1"/>
  <c r="O628" i="5" s="1"/>
  <c r="O627" i="5" a="1"/>
  <c r="O627" i="5" s="1"/>
  <c r="O626" i="5" a="1"/>
  <c r="O626" i="5" s="1"/>
  <c r="O625" i="5" a="1"/>
  <c r="O625" i="5" s="1"/>
  <c r="O624" i="5" a="1"/>
  <c r="O624" i="5" s="1"/>
  <c r="O623" i="5" a="1"/>
  <c r="O623" i="5" s="1"/>
  <c r="O622" i="5" a="1"/>
  <c r="O622" i="5" s="1"/>
  <c r="O621" i="5" a="1"/>
  <c r="O621" i="5" s="1"/>
  <c r="O620" i="5" a="1"/>
  <c r="O620" i="5" s="1"/>
  <c r="O619" i="5" a="1"/>
  <c r="O619" i="5" s="1"/>
  <c r="O618" i="5" a="1"/>
  <c r="O618" i="5" s="1"/>
  <c r="O617" i="5" a="1"/>
  <c r="O617" i="5" s="1"/>
  <c r="O616" i="5" a="1"/>
  <c r="O616" i="5" s="1"/>
  <c r="O615" i="5" a="1"/>
  <c r="O615" i="5" s="1"/>
  <c r="O614" i="5" a="1"/>
  <c r="O614" i="5" s="1"/>
  <c r="O613" i="5" a="1"/>
  <c r="O613" i="5" s="1"/>
  <c r="O612" i="5" a="1"/>
  <c r="O612" i="5" s="1"/>
  <c r="O611" i="5" a="1"/>
  <c r="O611" i="5" s="1"/>
  <c r="O610" i="5" a="1"/>
  <c r="O610" i="5" s="1"/>
  <c r="O609" i="5" a="1"/>
  <c r="O609" i="5" s="1"/>
  <c r="O608" i="5" a="1"/>
  <c r="O608" i="5" s="1"/>
  <c r="O607" i="5" a="1"/>
  <c r="O607" i="5" s="1"/>
  <c r="O606" i="5" a="1"/>
  <c r="O606" i="5" s="1"/>
  <c r="O605" i="5" a="1"/>
  <c r="O605" i="5" s="1"/>
  <c r="O604" i="5" a="1"/>
  <c r="O604" i="5" s="1"/>
  <c r="O603" i="5" a="1"/>
  <c r="O603" i="5" s="1"/>
  <c r="O602" i="5" a="1"/>
  <c r="O602" i="5" s="1"/>
  <c r="O601" i="5" a="1"/>
  <c r="O601" i="5" s="1"/>
  <c r="O600" i="5" a="1"/>
  <c r="O600" i="5" s="1"/>
  <c r="O599" i="5" a="1"/>
  <c r="O599" i="5" s="1"/>
  <c r="O598" i="5" a="1"/>
  <c r="O598" i="5" s="1"/>
  <c r="O597" i="5" a="1"/>
  <c r="O597" i="5" s="1"/>
  <c r="O596" i="5" a="1"/>
  <c r="O596" i="5" s="1"/>
  <c r="O595" i="5" a="1"/>
  <c r="O595" i="5" s="1"/>
  <c r="O594" i="5" a="1"/>
  <c r="O594" i="5" s="1"/>
  <c r="O593" i="5" a="1"/>
  <c r="O593" i="5" s="1"/>
  <c r="O592" i="5" a="1"/>
  <c r="O592" i="5" s="1"/>
  <c r="O591" i="5" a="1"/>
  <c r="O591" i="5" s="1"/>
  <c r="O590" i="5" a="1"/>
  <c r="O590" i="5" s="1"/>
  <c r="O589" i="5" a="1"/>
  <c r="O589" i="5" s="1"/>
  <c r="O588" i="5" a="1"/>
  <c r="O588" i="5" s="1"/>
  <c r="O587" i="5" a="1"/>
  <c r="O587" i="5" s="1"/>
  <c r="O586" i="5" a="1"/>
  <c r="O586" i="5" s="1"/>
  <c r="O585" i="5" a="1"/>
  <c r="O585" i="5" s="1"/>
  <c r="O584" i="5" a="1"/>
  <c r="O584" i="5" s="1"/>
  <c r="O583" i="5" a="1"/>
  <c r="O583" i="5" s="1"/>
  <c r="O582" i="5" a="1"/>
  <c r="O582" i="5" s="1"/>
  <c r="O581" i="5" a="1"/>
  <c r="O581" i="5" s="1"/>
  <c r="O580" i="5" a="1"/>
  <c r="O580" i="5" s="1"/>
  <c r="O579" i="5" a="1"/>
  <c r="O579" i="5" s="1"/>
  <c r="O578" i="5" a="1"/>
  <c r="O578" i="5" s="1"/>
  <c r="O577" i="5" a="1"/>
  <c r="O577" i="5" s="1"/>
  <c r="O576" i="5" a="1"/>
  <c r="O576" i="5" s="1"/>
  <c r="O575" i="5" a="1"/>
  <c r="O575" i="5" s="1"/>
  <c r="O574" i="5" a="1"/>
  <c r="O574" i="5" s="1"/>
  <c r="O573" i="5" a="1"/>
  <c r="O573" i="5" s="1"/>
  <c r="O572" i="5" a="1"/>
  <c r="O572" i="5" s="1"/>
  <c r="O571" i="5" a="1"/>
  <c r="O571" i="5" s="1"/>
  <c r="O570" i="5" a="1"/>
  <c r="O570" i="5" s="1"/>
  <c r="O569" i="5" a="1"/>
  <c r="O569" i="5" s="1"/>
  <c r="O568" i="5" a="1"/>
  <c r="O568" i="5" s="1"/>
  <c r="O567" i="5" a="1"/>
  <c r="O567" i="5" s="1"/>
  <c r="O566" i="5" a="1"/>
  <c r="O566" i="5" s="1"/>
  <c r="O565" i="5" a="1"/>
  <c r="O565" i="5" s="1"/>
  <c r="O564" i="5" a="1"/>
  <c r="O564" i="5" s="1"/>
  <c r="O563" i="5" a="1"/>
  <c r="O563" i="5" s="1"/>
  <c r="O562" i="5" a="1"/>
  <c r="O562" i="5" s="1"/>
  <c r="O561" i="5" a="1"/>
  <c r="O561" i="5" s="1"/>
  <c r="O560" i="5" a="1"/>
  <c r="O560" i="5" s="1"/>
  <c r="O559" i="5" a="1"/>
  <c r="O559" i="5" s="1"/>
  <c r="O558" i="5" a="1"/>
  <c r="O558" i="5" s="1"/>
  <c r="O557" i="5" a="1"/>
  <c r="O557" i="5" s="1"/>
  <c r="O556" i="5" a="1"/>
  <c r="O556" i="5" s="1"/>
  <c r="O555" i="5" a="1"/>
  <c r="O555" i="5" s="1"/>
  <c r="O554" i="5" a="1"/>
  <c r="O554" i="5" s="1"/>
  <c r="O553" i="5" a="1"/>
  <c r="O553" i="5" s="1"/>
  <c r="O552" i="5" a="1"/>
  <c r="O552" i="5" s="1"/>
  <c r="O551" i="5" a="1"/>
  <c r="O551" i="5" s="1"/>
  <c r="O550" i="5" a="1"/>
  <c r="O550" i="5" s="1"/>
  <c r="O549" i="5" a="1"/>
  <c r="O549" i="5" s="1"/>
  <c r="O548" i="5" a="1"/>
  <c r="O548" i="5" s="1"/>
  <c r="O547" i="5" a="1"/>
  <c r="O547" i="5" s="1"/>
  <c r="O546" i="5" a="1"/>
  <c r="O546" i="5" s="1"/>
  <c r="O545" i="5" a="1"/>
  <c r="O545" i="5" s="1"/>
  <c r="O544" i="5" a="1"/>
  <c r="O544" i="5" s="1"/>
  <c r="O543" i="5" a="1"/>
  <c r="O543" i="5" s="1"/>
  <c r="O542" i="5" a="1"/>
  <c r="O542" i="5" s="1"/>
  <c r="O541" i="5" a="1"/>
  <c r="O541" i="5" s="1"/>
  <c r="O540" i="5" a="1"/>
  <c r="O540" i="5" s="1"/>
  <c r="O539" i="5" a="1"/>
  <c r="O539" i="5" s="1"/>
  <c r="O538" i="5" a="1"/>
  <c r="O538" i="5" s="1"/>
  <c r="O537" i="5" a="1"/>
  <c r="O537" i="5" s="1"/>
  <c r="O536" i="5" a="1"/>
  <c r="O536" i="5" s="1"/>
  <c r="O535" i="5" a="1"/>
  <c r="O535" i="5" s="1"/>
  <c r="O534" i="5" a="1"/>
  <c r="O534" i="5" s="1"/>
  <c r="O533" i="5" a="1"/>
  <c r="O533" i="5" s="1"/>
  <c r="O532" i="5" a="1"/>
  <c r="O532" i="5" s="1"/>
  <c r="O531" i="5" a="1"/>
  <c r="O531" i="5" s="1"/>
  <c r="O530" i="5" a="1"/>
  <c r="O530" i="5" s="1"/>
  <c r="O529" i="5" a="1"/>
  <c r="O529" i="5" s="1"/>
  <c r="O528" i="5" a="1"/>
  <c r="O528" i="5" s="1"/>
  <c r="O527" i="5" a="1"/>
  <c r="O527" i="5" s="1"/>
  <c r="O526" i="5" a="1"/>
  <c r="O526" i="5" s="1"/>
  <c r="O525" i="5" a="1"/>
  <c r="O525" i="5" s="1"/>
  <c r="O524" i="5" a="1"/>
  <c r="O524" i="5" s="1"/>
  <c r="O523" i="5" a="1"/>
  <c r="O523" i="5" s="1"/>
  <c r="O522" i="5" a="1"/>
  <c r="O522" i="5" s="1"/>
  <c r="O521" i="5" a="1"/>
  <c r="O521" i="5" s="1"/>
  <c r="O520" i="5" a="1"/>
  <c r="O520" i="5" s="1"/>
  <c r="O519" i="5" a="1"/>
  <c r="O519" i="5" s="1"/>
  <c r="O518" i="5" a="1"/>
  <c r="O518" i="5" s="1"/>
  <c r="O517" i="5" a="1"/>
  <c r="O517" i="5" s="1"/>
  <c r="O516" i="5" a="1"/>
  <c r="O516" i="5" s="1"/>
  <c r="O515" i="5" a="1"/>
  <c r="O515" i="5" s="1"/>
  <c r="O514" i="5" a="1"/>
  <c r="O514" i="5" s="1"/>
  <c r="O513" i="5" a="1"/>
  <c r="O513" i="5" s="1"/>
  <c r="O512" i="5" a="1"/>
  <c r="O512" i="5" s="1"/>
  <c r="O511" i="5" a="1"/>
  <c r="O511" i="5" s="1"/>
  <c r="O510" i="5" a="1"/>
  <c r="O510" i="5" s="1"/>
  <c r="O509" i="5" a="1"/>
  <c r="O509" i="5" s="1"/>
  <c r="O508" i="5" a="1"/>
  <c r="O508" i="5" s="1"/>
  <c r="O507" i="5" a="1"/>
  <c r="O507" i="5" s="1"/>
  <c r="O506" i="5" a="1"/>
  <c r="O506" i="5" s="1"/>
  <c r="O505" i="5" a="1"/>
  <c r="O505" i="5" s="1"/>
  <c r="O504" i="5" a="1"/>
  <c r="O504" i="5" s="1"/>
  <c r="O503" i="5" a="1"/>
  <c r="O503" i="5" s="1"/>
  <c r="O502" i="5" a="1"/>
  <c r="O502" i="5" s="1"/>
  <c r="O501" i="5" a="1"/>
  <c r="O501" i="5" s="1"/>
  <c r="O500" i="5" a="1"/>
  <c r="O500" i="5" s="1"/>
  <c r="O499" i="5" a="1"/>
  <c r="O499" i="5" s="1"/>
  <c r="O498" i="5" a="1"/>
  <c r="O498" i="5" s="1"/>
  <c r="O497" i="5" a="1"/>
  <c r="O497" i="5" s="1"/>
  <c r="O496" i="5" a="1"/>
  <c r="O496" i="5" s="1"/>
  <c r="O495" i="5" a="1"/>
  <c r="O495" i="5" s="1"/>
  <c r="O494" i="5" a="1"/>
  <c r="O494" i="5" s="1"/>
  <c r="O493" i="5" a="1"/>
  <c r="O493" i="5" s="1"/>
  <c r="O492" i="5" a="1"/>
  <c r="O492" i="5" s="1"/>
  <c r="O491" i="5" a="1"/>
  <c r="O491" i="5" s="1"/>
  <c r="O490" i="5" a="1"/>
  <c r="O490" i="5" s="1"/>
  <c r="O489" i="5" a="1"/>
  <c r="O489" i="5" s="1"/>
  <c r="O488" i="5" a="1"/>
  <c r="O488" i="5" s="1"/>
  <c r="O487" i="5" a="1"/>
  <c r="O487" i="5" s="1"/>
  <c r="O486" i="5" a="1"/>
  <c r="O486" i="5" s="1"/>
  <c r="O485" i="5" a="1"/>
  <c r="O485" i="5" s="1"/>
  <c r="O484" i="5" a="1"/>
  <c r="O484" i="5" s="1"/>
  <c r="O483" i="5" a="1"/>
  <c r="O483" i="5" s="1"/>
  <c r="O482" i="5" a="1"/>
  <c r="O482" i="5" s="1"/>
  <c r="O481" i="5" a="1"/>
  <c r="O481" i="5" s="1"/>
  <c r="O480" i="5" a="1"/>
  <c r="O480" i="5" s="1"/>
  <c r="O479" i="5" a="1"/>
  <c r="O479" i="5" s="1"/>
  <c r="O478" i="5" a="1"/>
  <c r="O478" i="5" s="1"/>
  <c r="O477" i="5" a="1"/>
  <c r="O477" i="5" s="1"/>
  <c r="O476" i="5" a="1"/>
  <c r="O476" i="5" s="1"/>
  <c r="O475" i="5" a="1"/>
  <c r="O475" i="5" s="1"/>
  <c r="O474" i="5" a="1"/>
  <c r="O474" i="5" s="1"/>
  <c r="O473" i="5" a="1"/>
  <c r="O473" i="5" s="1"/>
  <c r="O472" i="5" a="1"/>
  <c r="O472" i="5" s="1"/>
  <c r="O471" i="5" a="1"/>
  <c r="O471" i="5" s="1"/>
  <c r="O470" i="5" a="1"/>
  <c r="O470" i="5" s="1"/>
  <c r="O469" i="5" a="1"/>
  <c r="O469" i="5" s="1"/>
  <c r="O468" i="5" a="1"/>
  <c r="O468" i="5" s="1"/>
  <c r="O467" i="5" a="1"/>
  <c r="O467" i="5" s="1"/>
  <c r="O466" i="5" a="1"/>
  <c r="O466" i="5" s="1"/>
  <c r="O465" i="5" a="1"/>
  <c r="O465" i="5" s="1"/>
  <c r="O464" i="5" a="1"/>
  <c r="O464" i="5" s="1"/>
  <c r="O463" i="5" a="1"/>
  <c r="O463" i="5" s="1"/>
  <c r="O462" i="5" a="1"/>
  <c r="O462" i="5" s="1"/>
  <c r="O461" i="5" a="1"/>
  <c r="O461" i="5" s="1"/>
  <c r="O460" i="5" a="1"/>
  <c r="O460" i="5" s="1"/>
  <c r="O459" i="5" a="1"/>
  <c r="O459" i="5" s="1"/>
  <c r="O458" i="5" a="1"/>
  <c r="O458" i="5" s="1"/>
  <c r="O457" i="5" a="1"/>
  <c r="O457" i="5" s="1"/>
  <c r="O456" i="5" a="1"/>
  <c r="O456" i="5" s="1"/>
  <c r="O455" i="5" a="1"/>
  <c r="O455" i="5" s="1"/>
  <c r="O454" i="5" a="1"/>
  <c r="O454" i="5" s="1"/>
  <c r="O453" i="5" a="1"/>
  <c r="O453" i="5" s="1"/>
  <c r="O452" i="5" a="1"/>
  <c r="O452" i="5" s="1"/>
  <c r="O451" i="5" a="1"/>
  <c r="O451" i="5" s="1"/>
  <c r="O450" i="5" a="1"/>
  <c r="O450" i="5" s="1"/>
  <c r="O449" i="5" a="1"/>
  <c r="O449" i="5" s="1"/>
  <c r="O448" i="5" a="1"/>
  <c r="O448" i="5" s="1"/>
  <c r="O447" i="5" a="1"/>
  <c r="O447" i="5" s="1"/>
  <c r="O446" i="5" a="1"/>
  <c r="O446" i="5" s="1"/>
  <c r="O445" i="5" a="1"/>
  <c r="O445" i="5" s="1"/>
  <c r="O444" i="5" a="1"/>
  <c r="O444" i="5" s="1"/>
  <c r="O443" i="5" a="1"/>
  <c r="O443" i="5" s="1"/>
  <c r="O442" i="5" a="1"/>
  <c r="O442" i="5" s="1"/>
  <c r="O441" i="5" a="1"/>
  <c r="O441" i="5" s="1"/>
  <c r="O440" i="5" a="1"/>
  <c r="O440" i="5" s="1"/>
  <c r="O439" i="5" a="1"/>
  <c r="O439" i="5" s="1"/>
  <c r="O438" i="5" a="1"/>
  <c r="O438" i="5" s="1"/>
  <c r="O437" i="5" a="1"/>
  <c r="O437" i="5" s="1"/>
  <c r="O436" i="5" a="1"/>
  <c r="O436" i="5" s="1"/>
  <c r="O435" i="5" a="1"/>
  <c r="O435" i="5" s="1"/>
  <c r="O434" i="5" a="1"/>
  <c r="O434" i="5" s="1"/>
  <c r="O433" i="5" a="1"/>
  <c r="O433" i="5" s="1"/>
  <c r="O432" i="5" a="1"/>
  <c r="O432" i="5" s="1"/>
  <c r="O431" i="5" a="1"/>
  <c r="O431" i="5" s="1"/>
  <c r="O430" i="5" a="1"/>
  <c r="O430" i="5" s="1"/>
  <c r="O429" i="5" a="1"/>
  <c r="O429" i="5" s="1"/>
  <c r="O428" i="5" a="1"/>
  <c r="O428" i="5" s="1"/>
  <c r="O427" i="5" a="1"/>
  <c r="O427" i="5" s="1"/>
  <c r="O426" i="5" a="1"/>
  <c r="O426" i="5" s="1"/>
  <c r="O425" i="5" a="1"/>
  <c r="O425" i="5" s="1"/>
  <c r="O424" i="5" a="1"/>
  <c r="O424" i="5" s="1"/>
  <c r="O423" i="5" a="1"/>
  <c r="O423" i="5" s="1"/>
  <c r="O422" i="5" a="1"/>
  <c r="O422" i="5" s="1"/>
  <c r="O421" i="5" a="1"/>
  <c r="O421" i="5" s="1"/>
  <c r="O420" i="5" a="1"/>
  <c r="O420" i="5" s="1"/>
  <c r="O419" i="5" a="1"/>
  <c r="O419" i="5" s="1"/>
  <c r="O418" i="5" a="1"/>
  <c r="O418" i="5" s="1"/>
  <c r="O417" i="5" a="1"/>
  <c r="O417" i="5" s="1"/>
  <c r="O416" i="5" a="1"/>
  <c r="O416" i="5" s="1"/>
  <c r="O415" i="5" a="1"/>
  <c r="O415" i="5" s="1"/>
  <c r="O414" i="5" a="1"/>
  <c r="O414" i="5" s="1"/>
  <c r="O413" i="5" a="1"/>
  <c r="O413" i="5" s="1"/>
  <c r="O412" i="5" a="1"/>
  <c r="O412" i="5" s="1"/>
  <c r="O411" i="5" a="1"/>
  <c r="O411" i="5" s="1"/>
  <c r="O410" i="5" a="1"/>
  <c r="O410" i="5" s="1"/>
  <c r="O409" i="5" a="1"/>
  <c r="O409" i="5" s="1"/>
  <c r="O408" i="5" a="1"/>
  <c r="O408" i="5" s="1"/>
  <c r="O407" i="5" a="1"/>
  <c r="O407" i="5" s="1"/>
  <c r="O406" i="5" a="1"/>
  <c r="O406" i="5" s="1"/>
  <c r="O405" i="5" a="1"/>
  <c r="O405" i="5" s="1"/>
  <c r="O404" i="5" a="1"/>
  <c r="O404" i="5" s="1"/>
  <c r="O403" i="5" a="1"/>
  <c r="O403" i="5" s="1"/>
  <c r="O402" i="5" a="1"/>
  <c r="O402" i="5" s="1"/>
  <c r="O401" i="5" a="1"/>
  <c r="O401" i="5" s="1"/>
  <c r="O400" i="5" a="1"/>
  <c r="O400" i="5" s="1"/>
  <c r="O399" i="5" a="1"/>
  <c r="O399" i="5" s="1"/>
  <c r="O398" i="5" a="1"/>
  <c r="O398" i="5" s="1"/>
  <c r="O397" i="5" a="1"/>
  <c r="O397" i="5" s="1"/>
  <c r="O396" i="5" a="1"/>
  <c r="O396" i="5" s="1"/>
  <c r="O395" i="5" a="1"/>
  <c r="O395" i="5" s="1"/>
  <c r="O394" i="5" a="1"/>
  <c r="O394" i="5" s="1"/>
  <c r="O393" i="5" a="1"/>
  <c r="O393" i="5" s="1"/>
  <c r="O392" i="5" a="1"/>
  <c r="O392" i="5" s="1"/>
  <c r="O391" i="5" a="1"/>
  <c r="O391" i="5" s="1"/>
  <c r="O390" i="5" a="1"/>
  <c r="O390" i="5" s="1"/>
  <c r="O389" i="5" a="1"/>
  <c r="O389" i="5" s="1"/>
  <c r="O388" i="5" a="1"/>
  <c r="O388" i="5" s="1"/>
  <c r="O387" i="5" a="1"/>
  <c r="O387" i="5" s="1"/>
  <c r="O386" i="5" a="1"/>
  <c r="O386" i="5" s="1"/>
  <c r="O385" i="5" a="1"/>
  <c r="O385" i="5" s="1"/>
  <c r="O384" i="5" a="1"/>
  <c r="O384" i="5" s="1"/>
  <c r="O383" i="5" a="1"/>
  <c r="O383" i="5" s="1"/>
  <c r="O382" i="5" a="1"/>
  <c r="O382" i="5" s="1"/>
  <c r="O381" i="5" a="1"/>
  <c r="O381" i="5" s="1"/>
  <c r="O380" i="5" a="1"/>
  <c r="O380" i="5" s="1"/>
  <c r="O379" i="5" a="1"/>
  <c r="O379" i="5" s="1"/>
  <c r="O378" i="5" a="1"/>
  <c r="O378" i="5" s="1"/>
  <c r="O377" i="5" a="1"/>
  <c r="O377" i="5" s="1"/>
  <c r="O376" i="5" a="1"/>
  <c r="O376" i="5" s="1"/>
  <c r="O375" i="5" a="1"/>
  <c r="O375" i="5" s="1"/>
  <c r="O374" i="5" a="1"/>
  <c r="O374" i="5" s="1"/>
  <c r="O373" i="5" a="1"/>
  <c r="O373" i="5" s="1"/>
  <c r="O372" i="5" a="1"/>
  <c r="O372" i="5" s="1"/>
  <c r="O371" i="5" a="1"/>
  <c r="O371" i="5" s="1"/>
  <c r="O370" i="5" a="1"/>
  <c r="O370" i="5" s="1"/>
  <c r="O369" i="5" a="1"/>
  <c r="O369" i="5" s="1"/>
  <c r="O368" i="5" a="1"/>
  <c r="O368" i="5" s="1"/>
  <c r="O367" i="5" a="1"/>
  <c r="O367" i="5" s="1"/>
  <c r="O366" i="5" a="1"/>
  <c r="O366" i="5" s="1"/>
  <c r="O365" i="5" a="1"/>
  <c r="O365" i="5" s="1"/>
  <c r="O364" i="5" a="1"/>
  <c r="O364" i="5" s="1"/>
  <c r="O363" i="5" a="1"/>
  <c r="O363" i="5" s="1"/>
  <c r="O362" i="5" a="1"/>
  <c r="O362" i="5" s="1"/>
  <c r="O361" i="5" a="1"/>
  <c r="O361" i="5" s="1"/>
  <c r="O360" i="5" a="1"/>
  <c r="O360" i="5" s="1"/>
  <c r="O359" i="5" a="1"/>
  <c r="O359" i="5" s="1"/>
  <c r="O358" i="5" a="1"/>
  <c r="O358" i="5" s="1"/>
  <c r="O357" i="5" a="1"/>
  <c r="O357" i="5" s="1"/>
  <c r="O356" i="5" a="1"/>
  <c r="O356" i="5" s="1"/>
  <c r="O355" i="5" a="1"/>
  <c r="O355" i="5" s="1"/>
  <c r="O354" i="5" a="1"/>
  <c r="O354" i="5" s="1"/>
  <c r="O353" i="5" a="1"/>
  <c r="O353" i="5" s="1"/>
  <c r="O352" i="5" a="1"/>
  <c r="O352" i="5" s="1"/>
  <c r="O351" i="5" a="1"/>
  <c r="O351" i="5" s="1"/>
  <c r="O350" i="5" a="1"/>
  <c r="O350" i="5" s="1"/>
  <c r="O349" i="5" a="1"/>
  <c r="O349" i="5" s="1"/>
  <c r="O348" i="5" a="1"/>
  <c r="O348" i="5" s="1"/>
  <c r="O347" i="5" a="1"/>
  <c r="O347" i="5" s="1"/>
  <c r="O346" i="5" a="1"/>
  <c r="O346" i="5" s="1"/>
  <c r="O345" i="5" a="1"/>
  <c r="O345" i="5" s="1"/>
  <c r="O344" i="5" a="1"/>
  <c r="O344" i="5" s="1"/>
  <c r="O343" i="5" a="1"/>
  <c r="O343" i="5" s="1"/>
  <c r="O342" i="5" a="1"/>
  <c r="O342" i="5" s="1"/>
  <c r="O341" i="5" a="1"/>
  <c r="O341" i="5" s="1"/>
  <c r="O340" i="5" a="1"/>
  <c r="O340" i="5" s="1"/>
  <c r="O339" i="5" a="1"/>
  <c r="O339" i="5" s="1"/>
  <c r="O338" i="5" a="1"/>
  <c r="O338" i="5" s="1"/>
  <c r="O337" i="5" a="1"/>
  <c r="O337" i="5" s="1"/>
  <c r="O336" i="5" a="1"/>
  <c r="O336" i="5" s="1"/>
  <c r="O335" i="5" a="1"/>
  <c r="O335" i="5" s="1"/>
  <c r="O334" i="5" a="1"/>
  <c r="O334" i="5" s="1"/>
  <c r="O333" i="5" a="1"/>
  <c r="O333" i="5" s="1"/>
  <c r="O332" i="5" a="1"/>
  <c r="O332" i="5" s="1"/>
  <c r="O331" i="5" a="1"/>
  <c r="O331" i="5" s="1"/>
  <c r="O330" i="5" a="1"/>
  <c r="O330" i="5" s="1"/>
  <c r="O329" i="5" a="1"/>
  <c r="O329" i="5" s="1"/>
  <c r="O328" i="5" a="1"/>
  <c r="O328" i="5" s="1"/>
  <c r="O327" i="5" a="1"/>
  <c r="O327" i="5" s="1"/>
  <c r="O326" i="5" a="1"/>
  <c r="O326" i="5" s="1"/>
  <c r="O325" i="5" a="1"/>
  <c r="O325" i="5" s="1"/>
  <c r="O324" i="5" a="1"/>
  <c r="O324" i="5" s="1"/>
  <c r="O323" i="5" a="1"/>
  <c r="O323" i="5" s="1"/>
  <c r="O322" i="5" a="1"/>
  <c r="O322" i="5" s="1"/>
  <c r="O321" i="5" a="1"/>
  <c r="O321" i="5" s="1"/>
  <c r="O320" i="5" a="1"/>
  <c r="O320" i="5" s="1"/>
  <c r="O319" i="5" a="1"/>
  <c r="O319" i="5" s="1"/>
  <c r="O318" i="5" a="1"/>
  <c r="O318" i="5" s="1"/>
  <c r="O317" i="5" a="1"/>
  <c r="O317" i="5" s="1"/>
  <c r="O316" i="5" a="1"/>
  <c r="O316" i="5" s="1"/>
  <c r="O315" i="5" a="1"/>
  <c r="O315" i="5" s="1"/>
  <c r="O314" i="5" a="1"/>
  <c r="O314" i="5" s="1"/>
  <c r="O313" i="5" a="1"/>
  <c r="O313" i="5" s="1"/>
  <c r="O312" i="5" a="1"/>
  <c r="O312" i="5" s="1"/>
  <c r="O311" i="5" a="1"/>
  <c r="O311" i="5" s="1"/>
  <c r="O310" i="5" a="1"/>
  <c r="O310" i="5" s="1"/>
  <c r="O309" i="5" a="1"/>
  <c r="O309" i="5" s="1"/>
  <c r="O308" i="5" a="1"/>
  <c r="O308" i="5" s="1"/>
  <c r="O307" i="5" a="1"/>
  <c r="O307" i="5" s="1"/>
  <c r="O306" i="5" a="1"/>
  <c r="O306" i="5" s="1"/>
  <c r="O305" i="5" a="1"/>
  <c r="O305" i="5" s="1"/>
  <c r="O304" i="5" a="1"/>
  <c r="O304" i="5" s="1"/>
  <c r="O303" i="5" a="1"/>
  <c r="O303" i="5" s="1"/>
  <c r="O302" i="5" a="1"/>
  <c r="O302" i="5" s="1"/>
  <c r="O301" i="5" a="1"/>
  <c r="O301" i="5" s="1"/>
  <c r="O300" i="5" a="1"/>
  <c r="O300" i="5" s="1"/>
  <c r="O299" i="5" a="1"/>
  <c r="O299" i="5" s="1"/>
  <c r="O298" i="5" a="1"/>
  <c r="O298" i="5" s="1"/>
  <c r="O297" i="5" a="1"/>
  <c r="O297" i="5" s="1"/>
  <c r="O296" i="5" a="1"/>
  <c r="O296" i="5" s="1"/>
  <c r="O295" i="5" a="1"/>
  <c r="O295" i="5" s="1"/>
  <c r="O294" i="5" a="1"/>
  <c r="O294" i="5" s="1"/>
  <c r="O293" i="5" a="1"/>
  <c r="O293" i="5" s="1"/>
  <c r="O292" i="5" a="1"/>
  <c r="O292" i="5" s="1"/>
  <c r="O291" i="5" a="1"/>
  <c r="O291" i="5" s="1"/>
  <c r="O290" i="5" a="1"/>
  <c r="O290" i="5" s="1"/>
  <c r="O289" i="5" a="1"/>
  <c r="O289" i="5" s="1"/>
  <c r="O288" i="5" a="1"/>
  <c r="O288" i="5" s="1"/>
  <c r="O287" i="5" a="1"/>
  <c r="O287" i="5" s="1"/>
  <c r="O286" i="5" a="1"/>
  <c r="O286" i="5" s="1"/>
  <c r="O285" i="5" a="1"/>
  <c r="O285" i="5" s="1"/>
  <c r="O284" i="5" a="1"/>
  <c r="O284" i="5" s="1"/>
  <c r="O283" i="5" a="1"/>
  <c r="O283" i="5" s="1"/>
  <c r="O282" i="5" a="1"/>
  <c r="O282" i="5" s="1"/>
  <c r="O281" i="5" a="1"/>
  <c r="O281" i="5" s="1"/>
  <c r="O280" i="5" a="1"/>
  <c r="O280" i="5" s="1"/>
  <c r="O279" i="5" a="1"/>
  <c r="O279" i="5" s="1"/>
  <c r="O278" i="5" a="1"/>
  <c r="O278" i="5" s="1"/>
  <c r="O277" i="5" a="1"/>
  <c r="O277" i="5" s="1"/>
  <c r="O276" i="5" a="1"/>
  <c r="O276" i="5" s="1"/>
  <c r="O275" i="5" a="1"/>
  <c r="O275" i="5" s="1"/>
  <c r="O274" i="5" a="1"/>
  <c r="O274" i="5" s="1"/>
  <c r="O273" i="5" a="1"/>
  <c r="O273" i="5" s="1"/>
  <c r="O272" i="5" a="1"/>
  <c r="O272" i="5" s="1"/>
  <c r="O271" i="5" a="1"/>
  <c r="O271" i="5" s="1"/>
  <c r="O270" i="5" a="1"/>
  <c r="O270" i="5" s="1"/>
  <c r="O269" i="5" a="1"/>
  <c r="O269" i="5" s="1"/>
  <c r="O268" i="5" a="1"/>
  <c r="O268" i="5" s="1"/>
  <c r="O267" i="5" a="1"/>
  <c r="O267" i="5" s="1"/>
  <c r="O266" i="5" a="1"/>
  <c r="O266" i="5" s="1"/>
  <c r="O265" i="5" a="1"/>
  <c r="O265" i="5" s="1"/>
  <c r="O264" i="5" a="1"/>
  <c r="O264" i="5" s="1"/>
  <c r="O263" i="5" a="1"/>
  <c r="O263" i="5" s="1"/>
  <c r="O262" i="5" a="1"/>
  <c r="O262" i="5" s="1"/>
  <c r="O261" i="5" a="1"/>
  <c r="O261" i="5" s="1"/>
  <c r="O260" i="5" a="1"/>
  <c r="O260" i="5" s="1"/>
  <c r="O259" i="5" a="1"/>
  <c r="O259" i="5" s="1"/>
  <c r="O258" i="5" a="1"/>
  <c r="O258" i="5" s="1"/>
  <c r="O257" i="5" a="1"/>
  <c r="O257" i="5" s="1"/>
  <c r="O256" i="5" a="1"/>
  <c r="O256" i="5" s="1"/>
  <c r="O255" i="5" a="1"/>
  <c r="O255" i="5" s="1"/>
  <c r="O254" i="5" a="1"/>
  <c r="O254" i="5" s="1"/>
  <c r="O253" i="5" a="1"/>
  <c r="O253" i="5" s="1"/>
  <c r="O252" i="5" a="1"/>
  <c r="O252" i="5" s="1"/>
  <c r="O251" i="5" a="1"/>
  <c r="O251" i="5" s="1"/>
  <c r="O250" i="5" a="1"/>
  <c r="O250" i="5" s="1"/>
  <c r="O249" i="5" a="1"/>
  <c r="O249" i="5" s="1"/>
  <c r="O248" i="5" a="1"/>
  <c r="O248" i="5" s="1"/>
  <c r="O247" i="5" a="1"/>
  <c r="O247" i="5" s="1"/>
  <c r="O246" i="5" a="1"/>
  <c r="O246" i="5" s="1"/>
  <c r="O245" i="5" a="1"/>
  <c r="O245" i="5" s="1"/>
  <c r="O244" i="5" a="1"/>
  <c r="O244" i="5" s="1"/>
  <c r="O243" i="5" a="1"/>
  <c r="O243" i="5" s="1"/>
  <c r="O242" i="5" a="1"/>
  <c r="O242" i="5" s="1"/>
  <c r="O241" i="5" a="1"/>
  <c r="O241" i="5" s="1"/>
  <c r="O240" i="5" a="1"/>
  <c r="O240" i="5" s="1"/>
  <c r="O239" i="5" a="1"/>
  <c r="O239" i="5" s="1"/>
  <c r="O238" i="5" a="1"/>
  <c r="O238" i="5" s="1"/>
  <c r="O237" i="5" a="1"/>
  <c r="O237" i="5" s="1"/>
  <c r="O236" i="5" a="1"/>
  <c r="O236" i="5" s="1"/>
  <c r="O235" i="5" a="1"/>
  <c r="O235" i="5" s="1"/>
  <c r="O234" i="5" a="1"/>
  <c r="O234" i="5" s="1"/>
  <c r="O233" i="5" a="1"/>
  <c r="O233" i="5" s="1"/>
  <c r="O232" i="5" a="1"/>
  <c r="O232" i="5" s="1"/>
  <c r="O231" i="5" a="1"/>
  <c r="O231" i="5" s="1"/>
  <c r="O230" i="5" a="1"/>
  <c r="O230" i="5" s="1"/>
  <c r="O229" i="5" a="1"/>
  <c r="O229" i="5" s="1"/>
  <c r="O228" i="5" a="1"/>
  <c r="O228" i="5" s="1"/>
  <c r="O227" i="5" a="1"/>
  <c r="O227" i="5" s="1"/>
  <c r="O226" i="5" a="1"/>
  <c r="O226" i="5" s="1"/>
  <c r="O225" i="5" a="1"/>
  <c r="O225" i="5" s="1"/>
  <c r="O224" i="5" a="1"/>
  <c r="O224" i="5" s="1"/>
  <c r="O223" i="5" a="1"/>
  <c r="O223" i="5" s="1"/>
  <c r="O222" i="5" a="1"/>
  <c r="O222" i="5" s="1"/>
  <c r="O221" i="5" a="1"/>
  <c r="O221" i="5" s="1"/>
  <c r="O220" i="5" a="1"/>
  <c r="O220" i="5" s="1"/>
  <c r="O219" i="5" a="1"/>
  <c r="O219" i="5" s="1"/>
  <c r="O218" i="5" a="1"/>
  <c r="O218" i="5" s="1"/>
  <c r="O217" i="5" a="1"/>
  <c r="O217" i="5" s="1"/>
  <c r="O216" i="5" a="1"/>
  <c r="O216" i="5" s="1"/>
  <c r="O215" i="5" a="1"/>
  <c r="O215" i="5" s="1"/>
  <c r="O214" i="5" a="1"/>
  <c r="O214" i="5" s="1"/>
  <c r="O213" i="5" a="1"/>
  <c r="O213" i="5" s="1"/>
  <c r="O212" i="5" a="1"/>
  <c r="O212" i="5" s="1"/>
  <c r="O211" i="5" a="1"/>
  <c r="O211" i="5" s="1"/>
  <c r="O210" i="5" a="1"/>
  <c r="O210" i="5" s="1"/>
  <c r="O209" i="5" a="1"/>
  <c r="O209" i="5" s="1"/>
  <c r="O208" i="5" a="1"/>
  <c r="O208" i="5" s="1"/>
  <c r="O207" i="5" a="1"/>
  <c r="O207" i="5" s="1"/>
  <c r="O206" i="5" a="1"/>
  <c r="O206" i="5" s="1"/>
  <c r="O205" i="5" a="1"/>
  <c r="O205" i="5" s="1"/>
  <c r="O204" i="5" a="1"/>
  <c r="O204" i="5" s="1"/>
  <c r="O203" i="5" a="1"/>
  <c r="O203" i="5" s="1"/>
  <c r="O202" i="5" a="1"/>
  <c r="O202" i="5" s="1"/>
  <c r="O201" i="5" a="1"/>
  <c r="O201" i="5" s="1"/>
  <c r="O200" i="5" a="1"/>
  <c r="O200" i="5" s="1"/>
  <c r="O199" i="5" a="1"/>
  <c r="O199" i="5" s="1"/>
  <c r="O198" i="5" a="1"/>
  <c r="O198" i="5" s="1"/>
  <c r="O197" i="5" a="1"/>
  <c r="O197" i="5" s="1"/>
  <c r="O196" i="5" a="1"/>
  <c r="O196" i="5" s="1"/>
  <c r="O195" i="5" a="1"/>
  <c r="O195" i="5" s="1"/>
  <c r="O194" i="5" a="1"/>
  <c r="O194" i="5" s="1"/>
  <c r="O193" i="5" a="1"/>
  <c r="O193" i="5" s="1"/>
  <c r="O192" i="5" a="1"/>
  <c r="O192" i="5" s="1"/>
  <c r="O191" i="5" a="1"/>
  <c r="O191" i="5" s="1"/>
  <c r="O190" i="5" a="1"/>
  <c r="O190" i="5" s="1"/>
  <c r="O189" i="5" a="1"/>
  <c r="O189" i="5" s="1"/>
  <c r="O188" i="5" a="1"/>
  <c r="O188" i="5" s="1"/>
  <c r="O187" i="5" a="1"/>
  <c r="O187" i="5" s="1"/>
  <c r="O186" i="5" a="1"/>
  <c r="O186" i="5" s="1"/>
  <c r="O185" i="5" a="1"/>
  <c r="O185" i="5" s="1"/>
  <c r="O184" i="5" a="1"/>
  <c r="O184" i="5" s="1"/>
  <c r="O183" i="5" a="1"/>
  <c r="O183" i="5" s="1"/>
  <c r="O182" i="5" a="1"/>
  <c r="O182" i="5" s="1"/>
  <c r="O181" i="5" a="1"/>
  <c r="O181" i="5" s="1"/>
  <c r="O180" i="5" a="1"/>
  <c r="O180" i="5" s="1"/>
  <c r="O179" i="5" a="1"/>
  <c r="O179" i="5" s="1"/>
  <c r="O178" i="5" a="1"/>
  <c r="O178" i="5" s="1"/>
  <c r="O177" i="5" a="1"/>
  <c r="O177" i="5" s="1"/>
  <c r="O176" i="5" a="1"/>
  <c r="O176" i="5" s="1"/>
  <c r="O175" i="5" a="1"/>
  <c r="O175" i="5" s="1"/>
  <c r="O174" i="5" a="1"/>
  <c r="O174" i="5" s="1"/>
  <c r="O173" i="5" a="1"/>
  <c r="O173" i="5" s="1"/>
  <c r="O172" i="5" a="1"/>
  <c r="O172" i="5" s="1"/>
  <c r="O171" i="5" a="1"/>
  <c r="O171" i="5" s="1"/>
  <c r="O170" i="5" a="1"/>
  <c r="O170" i="5" s="1"/>
  <c r="O169" i="5" a="1"/>
  <c r="O169" i="5" s="1"/>
  <c r="O168" i="5" a="1"/>
  <c r="O168" i="5" s="1"/>
  <c r="O167" i="5" a="1"/>
  <c r="O167" i="5" s="1"/>
  <c r="O166" i="5" a="1"/>
  <c r="O166" i="5" s="1"/>
  <c r="O165" i="5" a="1"/>
  <c r="O165" i="5" s="1"/>
  <c r="O164" i="5" a="1"/>
  <c r="O164" i="5" s="1"/>
  <c r="O163" i="5" a="1"/>
  <c r="O163" i="5" s="1"/>
  <c r="O162" i="5" a="1"/>
  <c r="O162" i="5" s="1"/>
  <c r="O161" i="5" a="1"/>
  <c r="O161" i="5" s="1"/>
  <c r="O160" i="5" a="1"/>
  <c r="O160" i="5" s="1"/>
  <c r="O159" i="5" a="1"/>
  <c r="O159" i="5" s="1"/>
  <c r="O158" i="5" a="1"/>
  <c r="O158" i="5" s="1"/>
  <c r="O157" i="5" a="1"/>
  <c r="O157" i="5" s="1"/>
  <c r="O156" i="5" a="1"/>
  <c r="O156" i="5" s="1"/>
  <c r="O155" i="5" a="1"/>
  <c r="O155" i="5" s="1"/>
  <c r="O154" i="5" a="1"/>
  <c r="O154" i="5" s="1"/>
  <c r="O153" i="5" a="1"/>
  <c r="O153" i="5" s="1"/>
  <c r="O152" i="5" a="1"/>
  <c r="O152" i="5" s="1"/>
  <c r="O151" i="5" a="1"/>
  <c r="O151" i="5" s="1"/>
  <c r="O150" i="5" a="1"/>
  <c r="O150" i="5" s="1"/>
  <c r="O149" i="5" a="1"/>
  <c r="O149" i="5" s="1"/>
  <c r="O148" i="5" a="1"/>
  <c r="O148" i="5" s="1"/>
  <c r="O147" i="5" a="1"/>
  <c r="O147" i="5" s="1"/>
  <c r="O146" i="5" a="1"/>
  <c r="O146" i="5" s="1"/>
  <c r="O145" i="5" a="1"/>
  <c r="O145" i="5" s="1"/>
  <c r="O144" i="5" a="1"/>
  <c r="O144" i="5" s="1"/>
  <c r="O143" i="5" a="1"/>
  <c r="O143" i="5" s="1"/>
  <c r="O142" i="5" a="1"/>
  <c r="O142" i="5" s="1"/>
  <c r="O141" i="5" a="1"/>
  <c r="O141" i="5" s="1"/>
  <c r="O140" i="5" a="1"/>
  <c r="O140" i="5" s="1"/>
  <c r="O139" i="5" a="1"/>
  <c r="O139" i="5" s="1"/>
  <c r="O138" i="5" a="1"/>
  <c r="O138" i="5" s="1"/>
  <c r="O137" i="5" a="1"/>
  <c r="O137" i="5" s="1"/>
  <c r="O136" i="5" a="1"/>
  <c r="O136" i="5" s="1"/>
  <c r="O135" i="5" a="1"/>
  <c r="O135" i="5" s="1"/>
  <c r="O134" i="5" a="1"/>
  <c r="O134" i="5" s="1"/>
  <c r="O133" i="5" a="1"/>
  <c r="O133" i="5" s="1"/>
  <c r="O132" i="5" a="1"/>
  <c r="O132" i="5" s="1"/>
  <c r="O131" i="5" a="1"/>
  <c r="O131" i="5" s="1"/>
  <c r="O130" i="5" a="1"/>
  <c r="O130" i="5" s="1"/>
  <c r="O129" i="5" a="1"/>
  <c r="O129" i="5" s="1"/>
  <c r="O128" i="5" a="1"/>
  <c r="O128" i="5" s="1"/>
  <c r="O127" i="5" a="1"/>
  <c r="O127" i="5" s="1"/>
  <c r="O126" i="5" a="1"/>
  <c r="O126" i="5" s="1"/>
  <c r="O125" i="5" a="1"/>
  <c r="O125" i="5" s="1"/>
  <c r="O124" i="5" a="1"/>
  <c r="O124" i="5" s="1"/>
  <c r="O123" i="5" a="1"/>
  <c r="O123" i="5" s="1"/>
  <c r="O122" i="5" a="1"/>
  <c r="O122" i="5" s="1"/>
  <c r="O121" i="5" a="1"/>
  <c r="O121" i="5" s="1"/>
  <c r="O120" i="5" a="1"/>
  <c r="O120" i="5" s="1"/>
  <c r="O119" i="5" a="1"/>
  <c r="O119" i="5" s="1"/>
  <c r="O118" i="5" a="1"/>
  <c r="O118" i="5" s="1"/>
  <c r="O117" i="5" a="1"/>
  <c r="O117" i="5" s="1"/>
  <c r="O116" i="5" a="1"/>
  <c r="O116" i="5" s="1"/>
  <c r="O115" i="5" a="1"/>
  <c r="O115" i="5" s="1"/>
  <c r="O114" i="5" a="1"/>
  <c r="O114" i="5" s="1"/>
  <c r="O113" i="5" a="1"/>
  <c r="O113" i="5" s="1"/>
  <c r="O112" i="5" a="1"/>
  <c r="O112" i="5" s="1"/>
  <c r="O111" i="5" a="1"/>
  <c r="O111" i="5" s="1"/>
  <c r="O110" i="5" a="1"/>
  <c r="O110" i="5" s="1"/>
  <c r="O109" i="5" a="1"/>
  <c r="O109" i="5" s="1"/>
  <c r="O108" i="5" a="1"/>
  <c r="O108" i="5" s="1"/>
  <c r="O107" i="5" a="1"/>
  <c r="O107" i="5" s="1"/>
  <c r="O106" i="5" a="1"/>
  <c r="O106" i="5" s="1"/>
  <c r="O105" i="5" a="1"/>
  <c r="O105" i="5" s="1"/>
  <c r="O104" i="5" a="1"/>
  <c r="O104" i="5" s="1"/>
  <c r="O103" i="5" a="1"/>
  <c r="O10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<sst xmlns="http://schemas.openxmlformats.org/spreadsheetml/2006/main" count="1335" uniqueCount="440">
  <si>
    <t>TRANSACTION LOG</t>
  </si>
  <si>
    <t>Boleto ID</t>
  </si>
  <si>
    <t>Ticker</t>
  </si>
  <si>
    <t>Asset Type</t>
  </si>
  <si>
    <t>Description</t>
  </si>
  <si>
    <t>Op. Type</t>
  </si>
  <si>
    <t>Trade Date</t>
  </si>
  <si>
    <t>Settlement</t>
  </si>
  <si>
    <t>Quantity</t>
  </si>
  <si>
    <t>Unit Price</t>
  </si>
  <si>
    <t>Gross Amount</t>
  </si>
  <si>
    <t>Market Costs</t>
  </si>
  <si>
    <t>Broker Fee</t>
  </si>
  <si>
    <t>Net Amount</t>
  </si>
  <si>
    <t>Currency</t>
  </si>
  <si>
    <t>Notes</t>
  </si>
  <si>
    <t>CURRENT POSITIONS</t>
  </si>
  <si>
    <t>Rate</t>
  </si>
  <si>
    <t>USD Official</t>
  </si>
  <si>
    <t>USD MEP</t>
  </si>
  <si>
    <t>USD Cable (CCL)</t>
  </si>
  <si>
    <t>Date</t>
  </si>
  <si>
    <t>Implied Price ARS</t>
  </si>
  <si>
    <t>Implied Price USD
(÷ MEP)</t>
  </si>
  <si>
    <t>Cash ARS</t>
  </si>
  <si>
    <t>ARS</t>
  </si>
  <si>
    <t>Cash USD</t>
  </si>
  <si>
    <t>USD</t>
  </si>
  <si>
    <t>PRICE HISTORY</t>
  </si>
  <si>
    <t>CASH LEDGER</t>
  </si>
  <si>
    <t>ARS In</t>
  </si>
  <si>
    <t>ARS Out</t>
  </si>
  <si>
    <t>Balance ARS</t>
  </si>
  <si>
    <t>MELI</t>
  </si>
  <si>
    <t>Cedears</t>
  </si>
  <si>
    <t>CEDEAR MERCADOLIBRE INC.</t>
  </si>
  <si>
    <t>META</t>
  </si>
  <si>
    <t>CEDEAR META PLATFORMS INC.</t>
  </si>
  <si>
    <t>VSCXO</t>
  </si>
  <si>
    <t>Corporativos</t>
  </si>
  <si>
    <t>ON VISTA ENERGY ARGENT 7.875 08/04/38</t>
  </si>
  <si>
    <t>AL30</t>
  </si>
  <si>
    <t>Bonos</t>
  </si>
  <si>
    <t>BONO REP. ARGENTINA USD STEP UP 2030</t>
  </si>
  <si>
    <t>NVDA</t>
  </si>
  <si>
    <t>CEDEAR NVIDIA CORPORATION</t>
  </si>
  <si>
    <t>ITUB</t>
  </si>
  <si>
    <t>CEDEAR ITAU UNIBANCO HOLDING S.A.</t>
  </si>
  <si>
    <t>Apertura Colocadora Futuro</t>
  </si>
  <si>
    <t>Apertura Colocadora Contado</t>
  </si>
  <si>
    <t>B</t>
  </si>
  <si>
    <t>CEDEAR BARRICK MINING CORPORATION</t>
  </si>
  <si>
    <t>YPFD</t>
  </si>
  <si>
    <t>Acciones</t>
  </si>
  <si>
    <t>YPF S.A. ESCRIT. "D" 1 VOTO</t>
  </si>
  <si>
    <t>PAMP</t>
  </si>
  <si>
    <t>PAMPA ENERGIA</t>
  </si>
  <si>
    <t>S15G5</t>
  </si>
  <si>
    <t>Letras</t>
  </si>
  <si>
    <t>LT REP ARGENTINA CAP V15/08/25 $ CG</t>
  </si>
  <si>
    <t>GGAL</t>
  </si>
  <si>
    <t>GRUPO FINANCIERO GALICIA "B"1V.ESC.</t>
  </si>
  <si>
    <t>Movimiento Manual / N/D Ret IIGG y BBPP - GGAL</t>
  </si>
  <si>
    <t>Dividendo en efectivo / GGAL</t>
  </si>
  <si>
    <t>Dividendo en efectivo / ITUB</t>
  </si>
  <si>
    <t>Dividendo en efectivo / B</t>
  </si>
  <si>
    <t>Movimiento Manual / Conversión CV 7.000 a CV 10.00</t>
  </si>
  <si>
    <t>Dividendo en acciones / ITUB</t>
  </si>
  <si>
    <t xml:space="preserve">Movimiento Manual / N/D Ret IIGG y BBPP - GGAL </t>
  </si>
  <si>
    <t>Amortización / S15G5</t>
  </si>
  <si>
    <t>Movimiento Manual / Ret IIGG y BBPP - GGAL</t>
  </si>
  <si>
    <t>MEP In</t>
  </si>
  <si>
    <t>MEP Out</t>
  </si>
  <si>
    <t>Balance MEP</t>
  </si>
  <si>
    <t>Cable In</t>
  </si>
  <si>
    <t>Cable Out</t>
  </si>
  <si>
    <t>Balance Cable</t>
  </si>
  <si>
    <t>CV7000 In</t>
  </si>
  <si>
    <t>CV7000 Out</t>
  </si>
  <si>
    <t>Balance CV7000</t>
  </si>
  <si>
    <t>COMPRA</t>
  </si>
  <si>
    <t>MEP</t>
  </si>
  <si>
    <t>APCOLCON</t>
  </si>
  <si>
    <t>APCOLFUT</t>
  </si>
  <si>
    <t>VENTA</t>
  </si>
  <si>
    <t>CABLE</t>
  </si>
  <si>
    <t>LICOMPRA</t>
  </si>
  <si>
    <t>Face Value</t>
  </si>
  <si>
    <t>2025-07-31|Recibo de Cobro / 1958756|ARS|50000</t>
  </si>
  <si>
    <t>2025-08-01|Boleto / 6821085 / COMPRA / 0 / PAMP / $|ARS|-12173.38</t>
  </si>
  <si>
    <t>2025-08-01|Boleto / 6821086 / COMPRA / 0 / S15G5 / $|ARS|-19679.04</t>
  </si>
  <si>
    <t>2025-08-01|Boleto / 6827517 / COMPRA / 0 / GGAL / $|ARS|-13552.83</t>
  </si>
  <si>
    <t>2025-08-01|Boleto / 6827518 / COMPRA / 0 / S15G5 / $|ARS|-4520.15</t>
  </si>
  <si>
    <t>2025-08-05|Recibo de Cobro / 2003955|MEP|200</t>
  </si>
  <si>
    <t>2025-08-05|Boleto / 6993424 / COMPRA / 1 / NVDA / usd|ARS|-134.17</t>
  </si>
  <si>
    <t>2025-08-05|Boleto / 6993424 / COMPRA / 1 / NVDA / usd|MEP|-52.27</t>
  </si>
  <si>
    <t>2025-08-08|Boleto / 7120890 / COMPRA / 0 / YPFD / usd|ARS|-86.07</t>
  </si>
  <si>
    <t>2025-08-08|Boleto / 7120890 / COMPRA / 0 / YPFD / usd|MEP|-34.62</t>
  </si>
  <si>
    <t>2025-08-08|Recibo de Cobro / 2056526|ARS|1000</t>
  </si>
  <si>
    <t>2025-08-08|Boleto / 7127171 / COMPRA / 0 / ITUB / usd|ARS|-175.02</t>
  </si>
  <si>
    <t>2025-08-08|Boleto / 7127171 / COMPRA / 0 / ITUB / usd|MEP|-69.35</t>
  </si>
  <si>
    <t>2025-08-12|Boleto / 7238570 / COMPRA / 0 / B / usd|ARS|-89.27</t>
  </si>
  <si>
    <t>2025-08-12|Boleto / 7238570 / COMPRA / 0 / B / usd|MEP|-35.28</t>
  </si>
  <si>
    <t>2025-08-12|Dividendo en efectivo / GGAL|ARS|42.89</t>
  </si>
  <si>
    <t>2025-08-12|Movimiento Manual / Ret IIGG y BBPP - GGAL|ARS|-3.01</t>
  </si>
  <si>
    <t>2025-08-13|Boleto / 7294898 / COMPRA / 0 / NVDA / usd|ARS|-19.51</t>
  </si>
  <si>
    <t>2025-08-13|Boleto / 7294898 / COMPRA / 0 / NVDA / usd|MEP|-7.6</t>
  </si>
  <si>
    <t>2025-08-18|Amortización / S15G5|ARS|24652.58</t>
  </si>
  <si>
    <t>2025-08-28|Recibo de Cobro / 2214981|ARS|1100000</t>
  </si>
  <si>
    <t>2025-08-28|Boleto / 7971565 / APCOLCON / 0 / $|ARS|-1125263.02</t>
  </si>
  <si>
    <t>2025-08-28|Boleto / 7971566 / APCOLFUT / 6 / $|ARS|1133920.54</t>
  </si>
  <si>
    <t>2025-09-04|Comprobante de Pago / 2123292|ARS|-1133920.54</t>
  </si>
  <si>
    <t>2025-09-10|Dividendo en efectivo / ITUB|ARS|-2.77</t>
  </si>
  <si>
    <t>2025-09-10|Dividendo en efectivo / ITUB|CV7000|0.46</t>
  </si>
  <si>
    <t>2025-09-10|Dividendo en efectivo / GGAL|ARS|43.71</t>
  </si>
  <si>
    <t>2025-09-10|Movimiento Manual / N/D Ret IIGG y BBPP - GGAL|ARS|-3.07</t>
  </si>
  <si>
    <t>2025-09-16|Dividendo en efectivo / B|CV7000|0.16</t>
  </si>
  <si>
    <t>2025-09-16|Dividendo en efectivo / B|ARS|-1</t>
  </si>
  <si>
    <t>2025-10-13|Dividendo en efectivo / ITUB|ARS|-0.18</t>
  </si>
  <si>
    <t>2025-10-13|Dividendo en efectivo / ITUB|CV7000|0.03</t>
  </si>
  <si>
    <t>2025-10-13|Dividendo en efectivo / GGAL|ARS|44.53</t>
  </si>
  <si>
    <t>2025-10-13|Movimiento Manual / N/D Ret IIGG y BBPP - GGAL |ARS|-3.12</t>
  </si>
  <si>
    <t>2025-11-12|Dividendo en efectivo / GGAL|ARS|45.44</t>
  </si>
  <si>
    <t>2025-11-12|Movimiento Manual / N/D Ret IIGG y BBPP - GGAL|ARS|-3.19</t>
  </si>
  <si>
    <t>2025-11-13|Dividendo en efectivo / ITUB|ARS|-0.18</t>
  </si>
  <si>
    <t>2025-11-13|Dividendo en efectivo / ITUB|CV7000|0.03</t>
  </si>
  <si>
    <t>2025-12-10|Dividendo en efectivo / ITUB|ARS|-0.18</t>
  </si>
  <si>
    <t>2025-12-10|Dividendo en efectivo / ITUB|CV7000|0.03</t>
  </si>
  <si>
    <t>2025-12-11|Dividendo en efectivo / GGAL|ARS|46.51</t>
  </si>
  <si>
    <t>2025-12-11|Movimiento Manual / N/D Ret IIGG y BBPP - GGAL|ARS|-3.26</t>
  </si>
  <si>
    <t>2025-12-16|Dividendo en efectivo / B|ARS|-1.11</t>
  </si>
  <si>
    <t>2025-12-16|Dividendo en efectivo / B|CV7000|0.18</t>
  </si>
  <si>
    <t>2026-01-02|Dividendo en efectivo / ITUB|ARS|-20.6</t>
  </si>
  <si>
    <t>2026-01-02|Dividendo en efectivo / ITUB|CV7000|2.79</t>
  </si>
  <si>
    <t>2026-01-06|Movimiento Manual / Conversión CV 7.000 a CV 10.00|CV7000|-3.68</t>
  </si>
  <si>
    <t>2026-01-06|Movimiento Manual / Conversión CV 7.000 a CV 10.00|MEP|3.68</t>
  </si>
  <si>
    <t>2026-01-09|Dividendo en acciones / ITUB|CV7000|2.18</t>
  </si>
  <si>
    <t>2026-01-13|Dividendo en efectivo / ITUB|ARS|-0.12</t>
  </si>
  <si>
    <t>2026-01-13|Dividendo en efectivo / ITUB|CV7000|0.02</t>
  </si>
  <si>
    <t>2026-01-14|Dividendo en efectivo / GGAL|ARS|47.66</t>
  </si>
  <si>
    <t>2026-01-14|Movimiento Manual / N/D Ret IIGG y BBPP - GGAL|ARS|-3.34</t>
  </si>
  <si>
    <t>2026-01-19|Movimiento Manual / Conversión CV 7.000 a CV 10.00|CV7000|-2.2</t>
  </si>
  <si>
    <t>2026-01-19|Movimiento Manual / Conversión CV 7.000 a CV 10.00|MEP|2.2</t>
  </si>
  <si>
    <t>2026-01-19|Comprobante de Pago / 177251|ARS|-100000</t>
  </si>
  <si>
    <t>2026-01-19|Boleto / 821619 / VENTA / 0 / ITUB / $|ARS|105056.17</t>
  </si>
  <si>
    <t>2026-01-21|Boleto / 1003120 / VENTA / 1 / NVDA / $|ARS|56819.33</t>
  </si>
  <si>
    <t>2026-01-22|Comprobante de Pago / 212411|ARS|-62061.23</t>
  </si>
  <si>
    <t>2026-02-11|Dividendo en efectivo / ITUB|ARS|-0.18</t>
  </si>
  <si>
    <t>2026-02-11|Dividendo en efectivo / ITUB|CV7000|0.03</t>
  </si>
  <si>
    <t>2026-02-11|Dividendo en efectivo / GGAL|ARS|49.02</t>
  </si>
  <si>
    <t>2026-02-11|Movimiento Manual / N/D Ret IIGG y BBPP - GGAL|ARS|-3.44</t>
  </si>
  <si>
    <t>2026-03-11|Dividendo en efectivo / GGAL|ARS|50.43</t>
  </si>
  <si>
    <t>2026-03-11|Movimiento Manual / N/D Ret IIGG y BBPP - GGAL|ARS|-3.54</t>
  </si>
  <si>
    <t>2026-03-17|Dividendo en efectivo / B|ARS|-2.64</t>
  </si>
  <si>
    <t>2026-03-17|Dividendo en efectivo / B|CV7000|0.44</t>
  </si>
  <si>
    <t>2026-03-18|Dividendo en efectivo / ITUB|ARS|-2.94</t>
  </si>
  <si>
    <t>2026-03-18|Dividendo en efectivo / ITUB|CV7000|0.49</t>
  </si>
  <si>
    <t>2026-03-30|Recibo de Cobro / 836544|ARS|7000000</t>
  </si>
  <si>
    <t>2026-03-30|Recibo de Cobro / 837674|MEP|10000</t>
  </si>
  <si>
    <t>2026-03-30|Boleto / 3581157 / COMPRA / 0 / AL30 / $|ARS|-6998348.47</t>
  </si>
  <si>
    <t>2026-03-30|Boleto / 3581158 / VENTA / 0 / AL30 / U$S|ARS|-162.56</t>
  </si>
  <si>
    <t>2026-03-30|Boleto / 3581158 / VENTA / 0 / AL30 / U$S|CABLE|4679.72</t>
  </si>
  <si>
    <t>2026-03-31|Boleto / 3626979 / COMPRA / 0 / AL30 / usd|ARS|-49.11</t>
  </si>
  <si>
    <t>2026-03-31|Boleto / 3626979 / COMPRA / 0 / AL30 / usd|MEP|-1412.09</t>
  </si>
  <si>
    <t>2026-03-31|Boleto / 3626980 / VENTA / 0 / AL30 / U$S|ARS|-47.4</t>
  </si>
  <si>
    <t>2026-03-31|Boleto / 3626980 / VENTA / 0 / AL30 / U$S|CABLE|1349.46</t>
  </si>
  <si>
    <t>2026-04-01|Boleto / 3756082 / COMPRA / 1 / META / usd|ARS|-2415.54</t>
  </si>
  <si>
    <t>2026-04-01|Boleto / 3756082 / COMPRA / 1 / META / usd|MEP|-1061.58</t>
  </si>
  <si>
    <t>2026-04-01|Boleto / 3788723 / LICOMPRA / 4 / VISTA XXXI / U$S|CABLE|-6030</t>
  </si>
  <si>
    <t>2026-04-10|Boleto / 4022329 / COMPRA / 0 / MELI / usd|ARS|-105.25</t>
  </si>
  <si>
    <t>2026-04-10|Boleto / 4022329 / COMPRA / 0 / MELI / usd|MEP|-46.37</t>
  </si>
  <si>
    <t>2026-04-10|Recibo de Cobro / 965832|ARS|2000</t>
  </si>
  <si>
    <t>2026-04-14|Boleto / 4127860 / COMPRA / 0 / MELI / usd|ARS|-1085.23</t>
  </si>
  <si>
    <t>2026-04-14|Boleto / 4127860 / COMPRA / 0 / MELI / usd|MEP|-487.22</t>
  </si>
  <si>
    <t>2026-04-14|Liquidación de Suscripción / 767051 / BALANZ CAPIT|MEP|-1000</t>
  </si>
  <si>
    <t>2026-04-14|Liquidación de Suscripción / 773105 / BALANZ CAPIT|MEP|-1000</t>
  </si>
  <si>
    <t>2026-04-15|Recibo de Cobro / 1004453|ARS|1000</t>
  </si>
  <si>
    <t>2026-04-15|Dividendo en efectivo / GGAL|ARS|51.9</t>
  </si>
  <si>
    <t>2026-04-15|Movimiento Manual / N/D Ret IIGG y BBPP - GGAL|ARS|-3.64</t>
  </si>
  <si>
    <t>Amount</t>
  </si>
  <si>
    <t>CORPORATE ACTIONS LOG</t>
  </si>
  <si>
    <t>TAX LOG</t>
  </si>
  <si>
    <t>Total Value ARS</t>
  </si>
  <si>
    <t>Total Value
(from app)</t>
  </si>
  <si>
    <t>DIVIDEND</t>
  </si>
  <si>
    <t>AMORT</t>
  </si>
  <si>
    <t>CV7000</t>
  </si>
  <si>
    <t>2025-10-03|Dividendo en efectivo / NVDA||0</t>
  </si>
  <si>
    <t>2025-10-13|Movimiento Manual / N/D Ret IIGG y BBPP - GGAL|ARS|-3.12</t>
  </si>
  <si>
    <t>2025-12-29|Dividendo en efectivo / NVDA||0</t>
  </si>
  <si>
    <t>STOCK_DIV</t>
  </si>
  <si>
    <t>2026-04-06|Dividendo en efectivo / NVDA||0</t>
  </si>
  <si>
    <t>FCI</t>
  </si>
  <si>
    <t>SUSCRIPCION</t>
  </si>
  <si>
    <t>FX ARS</t>
  </si>
  <si>
    <t>FX USD MEP</t>
  </si>
  <si>
    <t>TOTAL PORTFOLIO</t>
  </si>
  <si>
    <t xml:space="preserve"> </t>
  </si>
  <si>
    <t>Cash CABLE</t>
  </si>
  <si>
    <t>FX HISTORY</t>
  </si>
  <si>
    <t>CASH HISTORY</t>
  </si>
  <si>
    <t>TOTAL</t>
  </si>
  <si>
    <t>Total Value</t>
  </si>
  <si>
    <t>% Portfolio</t>
  </si>
  <si>
    <t>USD Cable</t>
  </si>
  <si>
    <t>Selected date</t>
  </si>
  <si>
    <t>USD CABLE</t>
  </si>
  <si>
    <t>P&amp;L vs Purchase %</t>
  </si>
  <si>
    <t>Display currency</t>
  </si>
  <si>
    <t>Value ARS</t>
  </si>
  <si>
    <t>Cash</t>
  </si>
  <si>
    <t>Market Value ARS</t>
  </si>
  <si>
    <t>Daily P&amp;L ARS</t>
  </si>
  <si>
    <t>Daily P&amp;L %</t>
  </si>
  <si>
    <t>Cash Currency</t>
  </si>
  <si>
    <t>Actual Balance</t>
  </si>
  <si>
    <t>Reference Value ARS</t>
  </si>
  <si>
    <t>P&amp;L vs Purchase ARS</t>
  </si>
  <si>
    <t>Purchase Cost ARS</t>
  </si>
  <si>
    <t>CASH BALANCES</t>
  </si>
  <si>
    <t>ASSET ALLOCATION</t>
  </si>
  <si>
    <t>Cost Basis ARS</t>
  </si>
  <si>
    <t>Realized P&amp;L ARS</t>
  </si>
  <si>
    <t>Realized P&amp;L %</t>
  </si>
  <si>
    <t>Result Type</t>
  </si>
  <si>
    <t>Profit Taken</t>
  </si>
  <si>
    <t>Loss Realized</t>
  </si>
  <si>
    <t>MCC3O</t>
  </si>
  <si>
    <t>ON PECOM SERVICIOS ENERGÍA CLASE 3</t>
  </si>
  <si>
    <t>Licitación MAE</t>
  </si>
  <si>
    <t>2026-05-08|Dividendo en efectivo / GGAL|ARS|186.31</t>
  </si>
  <si>
    <t>2026-05-06|Liquidación de Rescate / 944158 / BALANZ CAPITAL R|MEP|998.05</t>
  </si>
  <si>
    <t>2026-05-06|Liquidación de Rescate / 952907 / BALANZ CAPITAL E|MEP|999.82</t>
  </si>
  <si>
    <t>2026-05-07|Comprobante de Pago / 1107230|ARS|-2830531.87</t>
  </si>
  <si>
    <t>2026-05-07|Comprobante de Pago / 1107263|MEP|-1520</t>
  </si>
  <si>
    <t>2026-05-07|Boleto / 5032456 / COMPRA / 0 / AL30 / usd|ARS|-69.04</t>
  </si>
  <si>
    <t>2026-05-07|Boleto / 5032456 / COMPRA / 0 / AL30 / usd|MEP|-1999.59</t>
  </si>
  <si>
    <t>2026-05-07|Boleto / 5032457 / VENTA / 0 / AL30 / $|ARS|2829608.9</t>
  </si>
  <si>
    <t>2026-05-07|Boleto / 5050132 / Licitación MAE / 2 / MCC3O / us|MEP|-2010</t>
  </si>
  <si>
    <t>Event Date</t>
  </si>
  <si>
    <t>Event Type</t>
  </si>
  <si>
    <t>Quantity Closed</t>
  </si>
  <si>
    <t>Proceeds ARS</t>
  </si>
  <si>
    <t>Amortization</t>
  </si>
  <si>
    <t>20250818|Amortization|S15G5|4|16794</t>
  </si>
  <si>
    <t>Sale</t>
  </si>
  <si>
    <t>20260119|Sale|ITUB|14|10</t>
  </si>
  <si>
    <t>20260121|Sale|NVDA|15|5</t>
  </si>
  <si>
    <t>20260331|Sale|AL30|19|2314</t>
  </si>
  <si>
    <t>RESCATE</t>
  </si>
  <si>
    <t>ESTRA1 A</t>
  </si>
  <si>
    <t>BCRFD A</t>
  </si>
  <si>
    <t>RESCATE|2026-05-06|ESTRA1 A|MEP|865.703485|999.82</t>
  </si>
  <si>
    <t>RESCATE|2026-05-06|BCRFD A|MEP|685.310575|998.05</t>
  </si>
  <si>
    <t>SUSCRIPCION|2026-04-14|ESTRA1 A|MEP|865.701178|1000</t>
  </si>
  <si>
    <t>SUSCRIPCION|2026-04-14|BCRFD A|MEP|685.307956|1000</t>
  </si>
  <si>
    <t>20260506|Sale|ESTRA1 A|26|865.701178</t>
  </si>
  <si>
    <t>20260506|Sale|BCRFD A|27|685.307956</t>
  </si>
  <si>
    <t>20260507|Sale|AL30|29|3103</t>
  </si>
  <si>
    <t>Maturity</t>
  </si>
  <si>
    <t>Cauciones</t>
  </si>
  <si>
    <t>20260330|Sale|AL30|16|8026</t>
  </si>
  <si>
    <t>Proceeds Original</t>
  </si>
  <si>
    <t>Realized P&amp;L USD MEP</t>
  </si>
  <si>
    <t>Month</t>
  </si>
  <si>
    <t>Opening Portfolio ARS</t>
  </si>
  <si>
    <t>Closing Portfolio ARS</t>
  </si>
  <si>
    <t>Capital Contributions ARS</t>
  </si>
  <si>
    <t>Capital Withdrawals ARS</t>
  </si>
  <si>
    <t>Dividends ARS</t>
  </si>
  <si>
    <t>Net Investment Result ARS</t>
  </si>
  <si>
    <t>Net Investment Result USD MEP</t>
  </si>
  <si>
    <t>Net Return %</t>
  </si>
  <si>
    <t>INVESTMENTS BY CURRENCY</t>
  </si>
  <si>
    <t>Investment Currency</t>
  </si>
  <si>
    <t>Balance</t>
  </si>
  <si>
    <t>FX Used</t>
  </si>
  <si>
    <t>Total Investments</t>
  </si>
  <si>
    <t>Total Cash</t>
  </si>
  <si>
    <t>Total Portfolio</t>
  </si>
  <si>
    <t>Change the selected date and/or display currency, then click Refresh Summary to update portfolio metrics and allocations.</t>
  </si>
  <si>
    <t>CAUCION</t>
  </si>
  <si>
    <t>Calculation notes</t>
  </si>
  <si>
    <t>Net Investment Result = Closing Portfolio - Opening Portfolio - Capital Contributions - Capital Withdrawals. Withdrawals are shown as negative values, so the calculation excludes capital movements and isolates the investment result.</t>
  </si>
  <si>
    <t>Net Return % uses a Modified Dietz approach: Net Investment Result divided by Opening Portfolio plus time-weighted capital flows during the month.</t>
  </si>
  <si>
    <t>Dividends and Realized P&amp;L are shown as supporting detail. They are not added again to the bridge because they are already reflected in the portfolio/cash closing value when applicable.</t>
  </si>
  <si>
    <t>Selected ticker</t>
  </si>
  <si>
    <t>P&amp;L %</t>
  </si>
  <si>
    <t>Selected month</t>
  </si>
  <si>
    <t>Year</t>
  </si>
  <si>
    <t>Annual Net Investment Result = Closing Portfolio - Opening Portfolio - Capital Contributions - Capital Withdrawals. Withdrawals are shown as negative values, so the calculation excludes capital movements and isolates the investment result.</t>
  </si>
  <si>
    <t>Annual Net Return % uses a Modified Dietz approach: Annual Net Investment Result divided by Opening Portfolio plus time-weighted capital flows during the year.</t>
  </si>
  <si>
    <t>PERFORMANCE SUMMARY</t>
  </si>
  <si>
    <t>Period</t>
  </si>
  <si>
    <t>Period P&amp;L %</t>
  </si>
  <si>
    <t>Daily</t>
  </si>
  <si>
    <t>YTD</t>
  </si>
  <si>
    <t>Total</t>
  </si>
  <si>
    <t>Monthly</t>
  </si>
  <si>
    <t>Period Start</t>
  </si>
  <si>
    <t>Period End</t>
  </si>
  <si>
    <t>Since first available history through selected month.</t>
  </si>
  <si>
    <t>Latest available day in selected month.</t>
  </si>
  <si>
    <t>Selected month.</t>
  </si>
  <si>
    <t>Year-to-date through selected month.</t>
  </si>
  <si>
    <t>Daily Period P&amp;L compares the latest available value in the selected month against the previous available loaded value for the ticker.</t>
  </si>
  <si>
    <t>Monthly and YTD Opening Value use the latest available loaded value before the period starts, while Period Start shows the actual reporting period start date.</t>
  </si>
  <si>
    <t>Period P&amp;L = Closing Value - Opening Value. Period P&amp;L % = Period P&amp;L divided by Opening Value.</t>
  </si>
  <si>
    <t>Closed P&amp;L includes sales, rescues and maturities. Dividends include cash dividends received during each period.</t>
  </si>
  <si>
    <t>PORTFOLIO WORKBOOK INSTRUCTIONS</t>
  </si>
  <si>
    <t>Recommended workflow</t>
  </si>
  <si>
    <t>•</t>
  </si>
  <si>
    <t>Enter USD Official, USD MEP and USD Cable rates in Price_Input.</t>
  </si>
  <si>
    <t>Client-facing report sheets</t>
  </si>
  <si>
    <t>Summary: main portfolio dashboard. Change Selected date and Display currency, then click Refresh Summary.</t>
  </si>
  <si>
    <t>Data and audit sheets</t>
  </si>
  <si>
    <t>Important calculation notes</t>
  </si>
  <si>
    <t>Net Investment Result = Closing Portfolio - Opening Portfolio - Capital Contributions - Capital Withdrawals.</t>
  </si>
  <si>
    <t>Net Return % uses a Modified Dietz approach with time-weighted capital flows.</t>
  </si>
  <si>
    <t>What clients should edit</t>
  </si>
  <si>
    <t>Do not change formulas, hidden helper sheets, hidden key columns or technical history tables.</t>
  </si>
  <si>
    <t>P&amp;L ARS</t>
  </si>
  <si>
    <t>Price ARS</t>
  </si>
  <si>
    <t>Opening Value ARS</t>
  </si>
  <si>
    <t>Closing Value ARS</t>
  </si>
  <si>
    <t>Period P&amp;L ARS</t>
  </si>
  <si>
    <t>Closed P&amp;L ARS</t>
  </si>
  <si>
    <r>
      <t>PORTFOLIO CONTROL DASHBOARD</t>
    </r>
    <r>
      <rPr>
        <b/>
        <sz val="18"/>
        <color rgb="FFFFFFFF"/>
        <rFont val="Aptos Display"/>
        <family val="2"/>
      </rPr>
      <t xml:space="preserve">
Client Portfolio Overview of Holdings, Cash &amp; Performance</t>
    </r>
  </si>
  <si>
    <t>Key</t>
  </si>
  <si>
    <t>OPEN POSITIONS - DAILY INPUT</t>
  </si>
  <si>
    <t>ASSET TYPE SUMMARY</t>
  </si>
  <si>
    <r>
      <t>PRICE INPUT</t>
    </r>
    <r>
      <rPr>
        <b/>
        <sz val="18"/>
        <color rgb="FFFFFFFF"/>
        <rFont val="Aptos Display"/>
        <family val="2"/>
      </rPr>
      <t xml:space="preserve">
Daily Workflow for Positions, FX, Cash &amp; Historical Prices</t>
    </r>
  </si>
  <si>
    <t>Use the buttons in this order:
1) Import Balanz Files: optional, only when loading new broker exports.
2) Update Positions: refresh positions and cash balances for the selected date.
3) Save Historical Prices: after entering Total Value, save prices, FX and cash.</t>
  </si>
  <si>
    <t>Select a ticker, display currency and month, then click Refresh Ticker Performance to update the ticker view.</t>
  </si>
  <si>
    <r>
      <t>TICKER PERFORMANCE</t>
    </r>
    <r>
      <rPr>
        <b/>
        <sz val="18"/>
        <color rgb="FFFFFFFF"/>
        <rFont val="Aptos Display"/>
        <family val="2"/>
      </rPr>
      <t xml:space="preserve">
Single-Ticker View of Value, P&amp;L, Dividends &amp; History</t>
    </r>
  </si>
  <si>
    <r>
      <t>MARKET VALUE</t>
    </r>
    <r>
      <rPr>
        <sz val="9"/>
        <color rgb="FF1F3A68"/>
        <rFont val="Aptos"/>
        <family val="2"/>
      </rPr>
      <t xml:space="preserve">
</t>
    </r>
    <r>
      <rPr>
        <b/>
        <sz val="11"/>
        <color rgb="FF1F3A68"/>
        <rFont val="Aptos"/>
        <family val="2"/>
      </rPr>
      <t>ARS 12,680.00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Latest available value</t>
    </r>
  </si>
  <si>
    <r>
      <t>PURCHASE COST</t>
    </r>
    <r>
      <rPr>
        <sz val="9"/>
        <color rgb="FF1F3A68"/>
        <rFont val="Aptos"/>
        <family val="2"/>
      </rPr>
      <t xml:space="preserve">
</t>
    </r>
    <r>
      <rPr>
        <b/>
        <sz val="11"/>
        <color rgb="FF1F3A68"/>
        <rFont val="Aptos"/>
        <family val="2"/>
      </rPr>
      <t>ARS 13,552.83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Open position cost</t>
    </r>
  </si>
  <si>
    <r>
      <t>DIVIDENDS</t>
    </r>
    <r>
      <rPr>
        <sz val="9"/>
        <color rgb="FF1F3A68"/>
        <rFont val="Aptos"/>
        <family val="2"/>
      </rPr>
      <t xml:space="preserve">
</t>
    </r>
    <r>
      <rPr>
        <b/>
        <sz val="11"/>
        <color rgb="FF1F3A68"/>
        <rFont val="Aptos"/>
        <family val="2"/>
      </rPr>
      <t>ARS 608.40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Cash dividends received</t>
    </r>
  </si>
  <si>
    <r>
      <t>MONTHLY PERFORMANCE</t>
    </r>
    <r>
      <rPr>
        <b/>
        <sz val="18"/>
        <color rgb="FFFFFFFF"/>
        <rFont val="Aptos Display"/>
        <family val="2"/>
      </rPr>
      <t xml:space="preserve">
Monthly Portfolio Result, Cash Flows &amp; Return Analysis</t>
    </r>
  </si>
  <si>
    <r>
      <t>ANNUAL PERFORMANCE</t>
    </r>
    <r>
      <rPr>
        <b/>
        <sz val="18"/>
        <color rgb="FFFFFFFF"/>
        <rFont val="Aptos Display"/>
        <family val="2"/>
      </rPr>
      <t xml:space="preserve">
Annual Portfolio Result, Cash Flows &amp; Return Analysis</t>
    </r>
  </si>
  <si>
    <r>
      <t>CLOSED POSITIONS</t>
    </r>
    <r>
      <rPr>
        <b/>
        <sz val="18"/>
        <color rgb="FFFFFFFF"/>
        <rFont val="Aptos Display"/>
        <family val="2"/>
      </rPr>
      <t xml:space="preserve">
Realized Profit/Loss from Sales, Rescues, Maturities &amp; Amortizations</t>
    </r>
  </si>
  <si>
    <r>
      <t>TOTAL P&amp;L</t>
    </r>
    <r>
      <rPr>
        <sz val="9"/>
        <color rgb="FF1F3A68"/>
        <rFont val="Aptos"/>
        <family val="2"/>
      </rPr>
      <t xml:space="preserve">
</t>
    </r>
    <r>
      <rPr>
        <b/>
        <sz val="11"/>
        <color rgb="FFC00000"/>
        <rFont val="Aptos"/>
        <family val="2"/>
      </rPr>
      <t>ARS (872.83)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(6.44%) vs purchase cost</t>
    </r>
  </si>
  <si>
    <r>
      <t>DAILY P&amp;L</t>
    </r>
    <r>
      <rPr>
        <sz val="9"/>
        <color rgb="FF1F3A68"/>
        <rFont val="Aptos"/>
        <family val="2"/>
      </rPr>
      <t xml:space="preserve">
</t>
    </r>
    <r>
      <rPr>
        <b/>
        <sz val="11"/>
        <color rgb="FFC00000"/>
        <rFont val="Aptos"/>
        <family val="2"/>
      </rPr>
      <t>ARS (80.00)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(0.63%) vs previous available day</t>
    </r>
  </si>
  <si>
    <r>
      <t>CLOSED P&amp;L</t>
    </r>
    <r>
      <rPr>
        <sz val="9"/>
        <color rgb="FF1F3A68"/>
        <rFont val="Aptos"/>
        <family val="2"/>
      </rPr>
      <t xml:space="preserve">
</t>
    </r>
    <r>
      <rPr>
        <b/>
        <sz val="11"/>
        <color rgb="FF1F3A68"/>
        <rFont val="Aptos"/>
        <family val="2"/>
      </rPr>
      <t>ARS -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Sales, rescues and maturities</t>
    </r>
  </si>
  <si>
    <t>ago-2025</t>
  </si>
  <si>
    <t>dic-2025</t>
  </si>
  <si>
    <t>ene-2026</t>
  </si>
  <si>
    <t>abr-2026</t>
  </si>
  <si>
    <t>sep-2025</t>
  </si>
  <si>
    <t>oct-2025</t>
  </si>
  <si>
    <t>nov-2025</t>
  </si>
  <si>
    <t>feb-2026</t>
  </si>
  <si>
    <t>mar-2026</t>
  </si>
  <si>
    <t>may-2026</t>
  </si>
  <si>
    <t>This workbook imports Balanz files, updates positions and cash balances, saves historical prices/FX/cash, and builds client-facing portfolio reports. The main workflow is managed from Price_Input using the workbook buttons.</t>
  </si>
  <si>
    <t>Import Balanz Files (optional): use only when you have new broker exports to import.</t>
  </si>
  <si>
    <t>Before clicking Update Positions</t>
  </si>
  <si>
    <t>Before clicking Save Historical Prices</t>
  </si>
  <si>
    <t>Enter Total Value from the broker/app for each open position in the daily input table.</t>
  </si>
  <si>
    <t>Ticker_Performance: select ticker, display currency and selected month, then click Refresh Ticker.</t>
  </si>
  <si>
    <t>Price_History, FX_History and Cash_History are created when Save Historical Prices saves a historical day.</t>
  </si>
  <si>
    <t>Use only the visible input cells, dropdown controls and workbook buttons.</t>
  </si>
  <si>
    <t>If a number looks wrong, refresh the relevant sheet before editing any source data.</t>
  </si>
  <si>
    <t>Update Positions: refreshes positions, closed positions and cash for the selected date.</t>
  </si>
  <si>
    <t>Save Historical Prices: saves Total Value, FX, cash history and refreshes reports.</t>
  </si>
  <si>
    <t>Set the Date in Price_Input. It is used for positions, closed positions and cash.</t>
  </si>
  <si>
    <t>Cash uses the last available balance on or before the selected date.</t>
  </si>
  <si>
    <t>Import Balanz files first only when you have new broker exports.</t>
  </si>
  <si>
    <t>Check TOTAL PORTFOLIO, cash and Asset Type Summary before saving.</t>
  </si>
  <si>
    <t>Monthly_Performance and Annual_Performance: show returns, flows, dividends and realized P&amp;L.</t>
  </si>
  <si>
    <t>Transactions, Corporate_Actions, Taxes and Cash_Ledger come from Balanz imports.</t>
  </si>
  <si>
    <t>Closed_Positions records realized P&amp;L from sales, rescues, maturities and amortizations.</t>
  </si>
  <si>
    <t>Withdrawals are negative, so: Opening + Contributions + Withdrawals + Net Result = Closing.</t>
  </si>
  <si>
    <r>
      <t>TOTAL PORTFOLIO</t>
    </r>
    <r>
      <rPr>
        <sz val="9"/>
        <color rgb="FF1F3A68"/>
        <rFont val="Aptos"/>
        <family val="2"/>
      </rPr>
      <t xml:space="preserve">
</t>
    </r>
    <r>
      <rPr>
        <b/>
        <sz val="11"/>
        <color rgb="FF1F3A68"/>
        <rFont val="Aptos"/>
        <family val="2"/>
      </rPr>
      <t>ARS 16,745,034.73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Investments + cash</t>
    </r>
  </si>
  <si>
    <r>
      <t>INVESTMENTS</t>
    </r>
    <r>
      <rPr>
        <sz val="9"/>
        <color rgb="FF1F3A68"/>
        <rFont val="Aptos"/>
        <family val="2"/>
      </rPr>
      <t xml:space="preserve">
</t>
    </r>
    <r>
      <rPr>
        <b/>
        <sz val="11"/>
        <color rgb="FF1F3A68"/>
        <rFont val="Aptos"/>
        <family val="2"/>
      </rPr>
      <t>ARS 14,646,428.00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Market value of open positions</t>
    </r>
  </si>
  <si>
    <r>
      <t>CASH</t>
    </r>
    <r>
      <rPr>
        <sz val="9"/>
        <color rgb="FF1F3A68"/>
        <rFont val="Aptos"/>
        <family val="2"/>
      </rPr>
      <t xml:space="preserve">
</t>
    </r>
    <r>
      <rPr>
        <b/>
        <sz val="11"/>
        <color rgb="FF1F3A68"/>
        <rFont val="Aptos"/>
        <family val="2"/>
      </rPr>
      <t>ARS 2,098,606.73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Total cash shown in selected currency</t>
    </r>
  </si>
  <si>
    <r>
      <t>DAILY P&amp;L</t>
    </r>
    <r>
      <rPr>
        <sz val="9"/>
        <color rgb="FF1F3A68"/>
        <rFont val="Aptos"/>
        <family val="2"/>
      </rPr>
      <t xml:space="preserve">
</t>
    </r>
    <r>
      <rPr>
        <b/>
        <sz val="11"/>
        <color rgb="FF239655"/>
        <rFont val="Aptos"/>
        <family val="2"/>
      </rPr>
      <t>ARS 2,842,783.00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Versus previous available day</t>
    </r>
  </si>
  <si>
    <t>9000002</t>
  </si>
  <si>
    <t>9000004</t>
  </si>
  <si>
    <t>9000005</t>
  </si>
  <si>
    <t>9000007</t>
  </si>
  <si>
    <t>9000008</t>
  </si>
  <si>
    <t>9000010</t>
  </si>
  <si>
    <t>9000011</t>
  </si>
  <si>
    <t>9000014</t>
  </si>
  <si>
    <t>9000015</t>
  </si>
  <si>
    <t>9000024</t>
  </si>
  <si>
    <t>Recibo de Cobro / 9000001</t>
  </si>
  <si>
    <t>Boleto / 9000002 / COMPRA / 0 / PAMP / $</t>
  </si>
  <si>
    <t>Boleto / 9000003 / COMPRA / 0 / S15G5 / $</t>
  </si>
  <si>
    <t>Boleto / 9000004 / COMPRA / 0 / GGAL / $</t>
  </si>
  <si>
    <t>Boleto / 9000005 / COMPRA / 0 / S15G5 / $</t>
  </si>
  <si>
    <t>Recibo de Cobro / 9000006</t>
  </si>
  <si>
    <t>Boleto / 9000007 / COMPRA / 1 / NVDA / usd</t>
  </si>
  <si>
    <t>Boleto / 9000008 / COMPRA / 0 / YPFD / usd</t>
  </si>
  <si>
    <t>Recibo de Cobro / 9000009</t>
  </si>
  <si>
    <t>Boleto / 9000010 / COMPRA / 0 / ITUB / usd</t>
  </si>
  <si>
    <t>Boleto / 9000011 / COMPRA / 0 / B / usd</t>
  </si>
  <si>
    <t>Boleto / 9000012 / COMPRA / 0 / NVDA / usd</t>
  </si>
  <si>
    <t>Recibo de Cobro / 9000013</t>
  </si>
  <si>
    <t>Boleto / 9000014 / APCOLCON / 0 / $</t>
  </si>
  <si>
    <t>Boleto / 9000015 / APCOLFUT / 6 / $</t>
  </si>
  <si>
    <t>Comprobante de Pago / 9000016</t>
  </si>
  <si>
    <t>Comprobante de Pago / 9000017</t>
  </si>
  <si>
    <t>Boleto / 9000018 / VENTA / 0 / ITUB / $</t>
  </si>
  <si>
    <t>Boleto / 9000019 / VENTA / 1 / NVDA / $</t>
  </si>
  <si>
    <t>Comprobante de Pago / 9000020</t>
  </si>
  <si>
    <t>Recibo de Cobro / 9000021</t>
  </si>
  <si>
    <t>Recibo de Cobro / 9000022</t>
  </si>
  <si>
    <t>Boleto / 9000023 / COMPRA / 0 / AL30 / $</t>
  </si>
  <si>
    <t>Boleto / 9000024 / VENTA / 0 / AL30 / U$S</t>
  </si>
  <si>
    <t>Boleto / 9000025 / COMPRA / 0 / AL30 / usd</t>
  </si>
  <si>
    <t>Boleto / 9000026 / VENTA / 0 / AL30 / U$S</t>
  </si>
  <si>
    <t>Boleto / 9000027 / COMPRA / 1 / META / usd</t>
  </si>
  <si>
    <t>Boleto / 9000028 / LICOMPRA / 4 / VISTA XXXI / U$S</t>
  </si>
  <si>
    <t>Boleto / 9000029 / COMPRA / 0 / MELI / usd</t>
  </si>
  <si>
    <t>Recibo de Cobro / 9000030</t>
  </si>
  <si>
    <t>Boleto / 9000031 / COMPRA / 0 / MELI / usd</t>
  </si>
  <si>
    <t>Liquidación de Suscripción / 9000032 / BALANZ CAPIT</t>
  </si>
  <si>
    <t>Liquidación de Suscripción / 9000033 / BALANZ CAPIT</t>
  </si>
  <si>
    <t>Recibo de Cobro / 9000034</t>
  </si>
  <si>
    <t>Liquidación de Rescate / 9000035 / BALANZ CAPITAL R</t>
  </si>
  <si>
    <t>Liquidación de Rescate / 9000036 / BALANZ CAPITAL E</t>
  </si>
  <si>
    <t>Comprobante de Pago / 9000037</t>
  </si>
  <si>
    <t>Comprobante de Pago / 9000038</t>
  </si>
  <si>
    <t>Boleto / 9000039 / COMPRA / 0 / AL30 / usd</t>
  </si>
  <si>
    <t>Boleto / 9000040 / VENTA / 0 / AL30 / $</t>
  </si>
  <si>
    <t>Boleto / 9000041 / Licitación MAE / 2 / MCC3O / us</t>
  </si>
  <si>
    <t>9000028</t>
  </si>
  <si>
    <t>9000027</t>
  </si>
  <si>
    <t>9000029</t>
  </si>
  <si>
    <t>9000041</t>
  </si>
  <si>
    <t>Liquidación de Suscripción / 9000033 / BA</t>
  </si>
  <si>
    <t>Liquidación de Suscripción / 9000032 / BA</t>
  </si>
  <si>
    <t>Liquidación de Rescate / 9000036 / BALANZ</t>
  </si>
  <si>
    <t>Liquidación de Rescate / 9000035 / BALANZ</t>
  </si>
  <si>
    <t>Open</t>
  </si>
  <si>
    <t>CON row 13; FUT row 12</t>
  </si>
  <si>
    <t>20250903|Maturity|CAUCION|12|1133920.54</t>
  </si>
  <si>
    <r>
      <t>TOTAL P&amp;L</t>
    </r>
    <r>
      <rPr>
        <sz val="9"/>
        <color rgb="FF1F3A68"/>
        <rFont val="Aptos"/>
        <family val="2"/>
      </rPr>
      <t xml:space="preserve">
</t>
    </r>
    <r>
      <rPr>
        <b/>
        <sz val="11"/>
        <color rgb="FF239655"/>
        <rFont val="Aptos"/>
        <family val="2"/>
      </rPr>
      <t>ARS 380,782.67</t>
    </r>
    <r>
      <rPr>
        <sz val="9"/>
        <color rgb="FF1F3A68"/>
        <rFont val="Aptos"/>
        <family val="2"/>
      </rPr>
      <t xml:space="preserve">
</t>
    </r>
    <r>
      <rPr>
        <sz val="8"/>
        <color rgb="FF555F73"/>
        <rFont val="Aptos"/>
        <family val="2"/>
      </rPr>
      <t>Versus purchase cost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</si>
</sst>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;\(#,##0.00\);\-"/>
    <numFmt numFmtId="165" formatCode="_-* #,##0_-;\-* #,##0_-;_-* &quot;-&quot;??_-;_-@_-"/>
    <numFmt numFmtId="166" formatCode="#,##0.0000;\(#,##0.0000\);\-"/>
    <numFmt numFmtId="167" formatCode=";;;"/>
    <numFmt numFmtId="168" formatCode="mmm\ yyyy"/>
  </numFmts>
  <fonts count="2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rgb="FF2D3748"/>
      <name val="Arial"/>
      <family val="2"/>
    </font>
    <font>
      <sz val="9"/>
      <color rgb="FF1F3A68"/>
      <name val="Arial"/>
      <family val="2"/>
    </font>
    <font>
      <b/>
      <sz val="11"/>
      <color rgb="FFFFFFFF"/>
      <name val="Aptos"/>
      <family val="2"/>
    </font>
    <font>
      <b/>
      <sz val="12"/>
      <color rgb="FFFFFFFF"/>
      <name val="Aptos"/>
      <family val="2"/>
    </font>
    <font>
      <sz val="9"/>
      <color rgb="FF555F73"/>
      <name val="Aptos"/>
      <family val="2"/>
    </font>
    <font>
      <i/>
      <sz val="9"/>
      <color rgb="FF555F73"/>
      <name val="Aptos"/>
      <family val="2"/>
    </font>
    <font>
      <sz val="9"/>
      <color rgb="FF1F3A68"/>
      <name val="Aptos"/>
      <family val="2"/>
    </font>
    <font>
      <b/>
      <sz val="9"/>
      <color rgb="FF1F3A68"/>
      <name val="Aptos"/>
      <family val="2"/>
    </font>
    <font>
      <sz val="8"/>
      <color rgb="FF555F73"/>
      <name val="Aptos"/>
      <family val="2"/>
    </font>
    <font>
      <b/>
      <sz val="9"/>
      <color rgb="FFFFFFFF"/>
      <name val="Aptos"/>
      <family val="2"/>
    </font>
    <font>
      <sz val="9"/>
      <color rgb="FFC00000"/>
      <name val="Aptos"/>
      <family val="2"/>
    </font>
    <font>
      <i/>
      <sz val="9"/>
      <color rgb="FF1F3A68"/>
      <name val="Aptos"/>
      <family val="2"/>
    </font>
    <font>
      <b/>
      <sz val="18"/>
      <color rgb="FFFFFFFF"/>
      <name val="Aptos Display"/>
      <family val="2"/>
    </font>
    <font>
      <b/>
      <sz val="20"/>
      <color rgb="FFFFFFFF"/>
      <name val="Aptos Display"/>
      <family val="2"/>
    </font>
    <font>
      <b/>
      <sz val="11"/>
      <color rgb="FF1F3A68"/>
      <name val="Aptos"/>
      <family val="2"/>
    </font>
    <font>
      <sz val="9"/>
      <color rgb="FFFFFFFF"/>
      <name val="Aptos"/>
      <family val="2"/>
    </font>
    <font>
      <b/>
      <sz val="11"/>
      <color rgb="FFC00000"/>
      <name val="Aptos"/>
      <family val="2"/>
    </font>
    <font>
      <sz val="9"/>
      <color rgb="FF239655"/>
      <name val="Aptos"/>
      <family val="2"/>
    </font>
    <font>
      <b/>
      <sz val="9"/>
      <color rgb="FF555F73"/>
      <name val="Aptos"/>
      <family val="2"/>
    </font>
    <font>
      <b/>
      <sz val="11"/>
      <color rgb="FF239655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F3A68"/>
        <bgColor indexed="64"/>
      </patternFill>
    </fill>
    <fill>
      <patternFill patternType="solid">
        <fgColor rgb="FF2465B0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0E203E"/>
        <bgColor indexed="64"/>
      </patternFill>
    </fill>
    <fill>
      <patternFill patternType="solid">
        <fgColor rgb="FFF6F8FC"/>
        <bgColor indexed="64"/>
      </patternFill>
    </fill>
    <fill>
      <patternFill patternType="solid">
        <fgColor rgb="FF081B38"/>
        <bgColor indexed="64"/>
      </patternFill>
    </fill>
    <fill>
      <patternFill patternType="solid">
        <fgColor rgb="FFEFF3F8"/>
        <bgColor indexed="64"/>
      </patternFill>
    </fill>
    <fill>
      <patternFill patternType="solid">
        <fgColor rgb="FFFAFCFF"/>
        <bgColor indexed="64"/>
      </patternFill>
    </fill>
  </fills>
  <borders count="13">
    <border>
      <left/>
      <right/>
      <top/>
      <bottom/>
      <diagonal/>
    </border>
    <border>
      <left style="thin">
        <color rgb="FFDCE2EB"/>
      </left>
      <right style="thin">
        <color rgb="FFDCE2EB"/>
      </right>
      <top style="thin">
        <color rgb="FFDCE2EB"/>
      </top>
      <bottom style="thin">
        <color rgb="FFDCE2EB"/>
      </bottom>
      <diagonal/>
    </border>
    <border>
      <left style="thin">
        <color rgb="FFDCE2EB"/>
      </left>
      <right/>
      <top style="thin">
        <color rgb="FFDCE2EB"/>
      </top>
      <bottom style="thin">
        <color rgb="FFDCE2EB"/>
      </bottom>
      <diagonal/>
    </border>
    <border>
      <left/>
      <right style="thin">
        <color rgb="FFDCE2EB"/>
      </right>
      <top style="thin">
        <color rgb="FFDCE2EB"/>
      </top>
      <bottom style="thin">
        <color rgb="FFDCE2EB"/>
      </bottom>
      <diagonal/>
    </border>
    <border>
      <left style="thin">
        <color rgb="FF081B38"/>
      </left>
      <right style="thin">
        <color rgb="FF081B38"/>
      </right>
      <top style="thin">
        <color rgb="FF081B38"/>
      </top>
      <bottom style="thin">
        <color rgb="FF081B38"/>
      </bottom>
      <diagonal/>
    </border>
    <border>
      <left style="thin">
        <color rgb="FFDCE2EB"/>
      </left>
      <right style="thin">
        <color rgb="FFDCE2EB"/>
      </right>
      <top style="thin">
        <color rgb="FFDCE2EB"/>
      </top>
      <bottom/>
      <diagonal/>
    </border>
    <border>
      <left/>
      <right/>
      <top style="thin">
        <color rgb="FFDCE2EB"/>
      </top>
      <bottom style="thin">
        <color rgb="FFDCE2EB"/>
      </bottom>
      <diagonal/>
    </border>
    <border>
      <left style="thin">
        <color rgb="FFDCE2EB"/>
      </left>
      <right style="thin">
        <color rgb="FF0E203E"/>
      </right>
      <top style="thin">
        <color rgb="FFDCE2EB"/>
      </top>
      <bottom style="thin">
        <color rgb="FFDCE2EB"/>
      </bottom>
      <diagonal/>
    </border>
    <border>
      <left style="thin">
        <color rgb="FF0E203E"/>
      </left>
      <right style="thin">
        <color rgb="FF0E203E"/>
      </right>
      <top style="thin">
        <color rgb="FFDCE2EB"/>
      </top>
      <bottom style="thin">
        <color rgb="FFDCE2EB"/>
      </bottom>
      <diagonal/>
    </border>
    <border>
      <left style="thin">
        <color rgb="FF0E203E"/>
      </left>
      <right style="thin">
        <color rgb="FFDCE2EB"/>
      </right>
      <top style="thin">
        <color rgb="FFDCE2EB"/>
      </top>
      <bottom style="thin">
        <color rgb="FFDCE2EB"/>
      </bottom>
      <diagonal/>
    </border>
    <border>
      <left style="thin">
        <color rgb="FFDCE2EB"/>
      </left>
      <right style="thin">
        <color rgb="FF081B38"/>
      </right>
      <top style="thin">
        <color rgb="FFDCE2EB"/>
      </top>
      <bottom style="thin">
        <color rgb="FF081B38"/>
      </bottom>
      <diagonal/>
    </border>
    <border>
      <left style="thin">
        <color rgb="FF081B38"/>
      </left>
      <right style="thin">
        <color rgb="FF081B38"/>
      </right>
      <top style="thin">
        <color rgb="FFDCE2EB"/>
      </top>
      <bottom style="thin">
        <color rgb="FF081B38"/>
      </bottom>
      <diagonal/>
    </border>
    <border>
      <left style="thin">
        <color rgb="FF081B38"/>
      </left>
      <right style="thin">
        <color rgb="FFDCE2EB"/>
      </right>
      <top style="thin">
        <color rgb="FFDCE2EB"/>
      </top>
      <bottom style="thin">
        <color rgb="FF081B3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/>
    <xf numFmtId="165" fontId="3" fillId="0" borderId="0" xfId="1" applyNumberFormat="1" applyFont="1" applyFill="1" applyBorder="1"/>
    <xf numFmtId="14" fontId="3" fillId="0" borderId="0" xfId="0" applyNumberFormat="1" applyFont="1"/>
    <xf numFmtId="4" fontId="3" fillId="0" borderId="0" xfId="0" applyNumberFormat="1" applyFont="1"/>
    <xf numFmtId="164" fontId="3" fillId="0" borderId="0" xfId="0" applyNumberFormat="1" applyFont="1"/>
    <xf numFmtId="1" fontId="3" fillId="0" borderId="0" xfId="0" applyNumberFormat="1" applyFont="1"/>
    <xf numFmtId="168" fontId="0" fillId="0" borderId="0" xfId="0" applyNumberFormat="1"/>
    <xf numFmtId="0" fontId="11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0" fontId="8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0" fontId="12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11" fillId="4" borderId="1" xfId="0" applyFont="1" applyFill="1" applyBorder="1" applyAlignment="1">
      <alignment horizontal="center" vertical="center" wrapText="1" shrinkToFit="1"/>
    </xf>
    <xf numFmtId="0" fontId="8" fillId="2" borderId="5" xfId="0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0" fontId="8" fillId="2" borderId="5" xfId="0" applyNumberFormat="1" applyFont="1" applyFill="1" applyBorder="1" applyAlignment="1">
      <alignment horizontal="center" vertical="center"/>
    </xf>
    <xf numFmtId="0" fontId="0" fillId="8" borderId="0" xfId="0" applyFill="1"/>
    <xf numFmtId="0" fontId="11" fillId="7" borderId="7" xfId="0" applyFont="1" applyFill="1" applyBorder="1" applyAlignment="1">
      <alignment horizontal="center" vertical="center"/>
    </xf>
    <xf numFmtId="164" fontId="11" fillId="7" borderId="8" xfId="0" applyNumberFormat="1" applyFont="1" applyFill="1" applyBorder="1" applyAlignment="1">
      <alignment horizontal="center" vertical="center"/>
    </xf>
    <xf numFmtId="166" fontId="11" fillId="7" borderId="8" xfId="0" applyNumberFormat="1" applyFont="1" applyFill="1" applyBorder="1" applyAlignment="1">
      <alignment horizontal="center" vertical="center"/>
    </xf>
    <xf numFmtId="14" fontId="0" fillId="0" borderId="0" xfId="0" applyNumberFormat="1"/>
    <xf numFmtId="10" fontId="0" fillId="0" borderId="0" xfId="0" applyNumberFormat="1"/>
    <xf numFmtId="14" fontId="8" fillId="2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8" fillId="0" borderId="0" xfId="0" applyNumberFormat="1" applyFont="1"/>
    <xf numFmtId="167" fontId="8" fillId="2" borderId="1" xfId="0" applyNumberFormat="1" applyFont="1" applyFill="1" applyBorder="1" applyAlignment="1">
      <alignment horizontal="center" vertical="center"/>
    </xf>
    <xf numFmtId="167" fontId="8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6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164" fontId="11" fillId="7" borderId="9" xfId="0" applyNumberFormat="1" applyFont="1" applyFill="1" applyBorder="1" applyAlignment="1">
      <alignment horizontal="center" vertical="center"/>
    </xf>
    <xf numFmtId="166" fontId="11" fillId="7" borderId="9" xfId="0" applyNumberFormat="1" applyFont="1" applyFill="1" applyBorder="1" applyAlignment="1">
      <alignment horizontal="center" vertical="center"/>
    </xf>
    <xf numFmtId="164" fontId="19" fillId="2" borderId="1" xfId="0" applyNumberFormat="1" applyFont="1" applyFill="1" applyBorder="1" applyAlignment="1">
      <alignment horizontal="center" vertical="center"/>
    </xf>
    <xf numFmtId="10" fontId="19" fillId="2" borderId="1" xfId="0" applyNumberFormat="1" applyFont="1" applyFill="1" applyBorder="1" applyAlignment="1">
      <alignment horizontal="center" vertical="center"/>
    </xf>
    <xf numFmtId="164" fontId="19" fillId="3" borderId="1" xfId="0" applyNumberFormat="1" applyFont="1" applyFill="1" applyBorder="1" applyAlignment="1">
      <alignment horizontal="center" vertical="center"/>
    </xf>
    <xf numFmtId="10" fontId="19" fillId="3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" fontId="8" fillId="2" borderId="1" xfId="0" applyNumberFormat="1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67" fontId="17" fillId="8" borderId="0" xfId="0" applyNumberFormat="1" applyFont="1" applyFill="1" applyAlignment="1">
      <alignment horizontal="center" vertical="center"/>
    </xf>
    <xf numFmtId="167" fontId="8" fillId="3" borderId="1" xfId="1" applyNumberFormat="1" applyFont="1" applyFill="1" applyBorder="1" applyAlignment="1">
      <alignment horizontal="center" vertical="center"/>
    </xf>
    <xf numFmtId="167" fontId="8" fillId="2" borderId="1" xfId="1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166" fontId="9" fillId="11" borderId="1" xfId="0" applyNumberFormat="1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168" fontId="9" fillId="11" borderId="1" xfId="0" applyNumberFormat="1" applyFont="1" applyFill="1" applyBorder="1" applyAlignment="1">
      <alignment horizontal="center" vertical="center" wrapText="1"/>
    </xf>
    <xf numFmtId="164" fontId="8" fillId="6" borderId="5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8" fillId="3" borderId="5" xfId="0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/>
    </xf>
    <xf numFmtId="10" fontId="8" fillId="3" borderId="5" xfId="0" applyNumberFormat="1" applyFont="1" applyFill="1" applyBorder="1" applyAlignment="1">
      <alignment horizontal="center" vertical="center"/>
    </xf>
    <xf numFmtId="14" fontId="9" fillId="8" borderId="0" xfId="0" applyNumberFormat="1" applyFont="1" applyFill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 wrapText="1"/>
    </xf>
    <xf numFmtId="10" fontId="11" fillId="7" borderId="9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164" fontId="11" fillId="7" borderId="8" xfId="0" applyNumberFormat="1" applyFont="1" applyFill="1" applyBorder="1" applyAlignment="1">
      <alignment horizontal="center" vertical="center"/>
    </xf>
    <xf numFmtId="0" fontId="14" fillId="9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11" fillId="9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9C4"/>
      <rgbColor rgb="FFEBF5FB"/>
      <rgbColor rgb="FF660066"/>
      <rgbColor rgb="FFFF8080"/>
      <rgbColor rgb="FF2E75B6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2C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53813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FD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Distribution by Asset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Asset Allocation</c:v>
          </c:tx>
          <c:dPt>
            <c:idx val="0"/>
            <c:bubble3D val="0"/>
            <c:spPr>
              <a:solidFill>
                <a:srgbClr val="1F3A68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E92-400F-BCA8-9F71E7D2148D}"/>
              </c:ext>
            </c:extLst>
          </c:dPt>
          <c:dPt>
            <c:idx val="1"/>
            <c:bubble3D val="0"/>
            <c:spPr>
              <a:solidFill>
                <a:srgbClr val="2465B0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E92-400F-BCA8-9F71E7D2148D}"/>
              </c:ext>
            </c:extLst>
          </c:dPt>
          <c:dPt>
            <c:idx val="2"/>
            <c:bubble3D val="0"/>
            <c:spPr>
              <a:solidFill>
                <a:srgbClr val="465F82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E92-400F-BCA8-9F71E7D2148D}"/>
              </c:ext>
            </c:extLst>
          </c:dPt>
          <c:dPt>
            <c:idx val="3"/>
            <c:bubble3D val="0"/>
            <c:spPr>
              <a:solidFill>
                <a:srgbClr val="6E829B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E92-400F-BCA8-9F71E7D2148D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1F3A68"/>
                      </a:solidFill>
                      <a:latin typeface="Aptos"/>
                      <a:ea typeface="Aptos"/>
                      <a:cs typeface="Apto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92-400F-BCA8-9F71E7D2148D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1F3A68"/>
                      </a:solidFill>
                      <a:latin typeface="Aptos"/>
                      <a:ea typeface="Aptos"/>
                      <a:cs typeface="Apto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92-400F-BCA8-9F71E7D2148D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1F3A68"/>
                      </a:solidFill>
                      <a:latin typeface="Aptos"/>
                      <a:ea typeface="Aptos"/>
                      <a:cs typeface="Apto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92-400F-BCA8-9F71E7D2148D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1F3A68"/>
                      </a:solidFill>
                      <a:latin typeface="Aptos"/>
                      <a:ea typeface="Aptos"/>
                      <a:cs typeface="Apto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92-400F-BCA8-9F71E7D214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Corporativos</c:v>
              </c:pt>
              <c:pt idx="1">
                <c:v>Cedears</c:v>
              </c:pt>
              <c:pt idx="2">
                <c:v>Cash</c:v>
              </c:pt>
              <c:pt idx="3">
                <c:v>Acciones</c:v>
              </c:pt>
            </c:strLit>
          </c:cat>
          <c:val>
            <c:numLit>
              <c:formatCode>General</c:formatCode>
              <c:ptCount val="4"/>
              <c:pt idx="0">
                <c:v>0.72005703129071541</c:v>
              </c:pt>
              <c:pt idx="1">
                <c:v>0.14918989656128881</c:v>
              </c:pt>
              <c:pt idx="2">
                <c:v>0.12532710549943601</c:v>
              </c:pt>
              <c:pt idx="3">
                <c:v>5.4259666485597883E-3</c:v>
              </c:pt>
            </c:numLit>
          </c:val>
          <c:extLst>
            <c:ext xmlns:c16="http://schemas.microsoft.com/office/drawing/2014/chart" uri="{C3380CC4-5D6E-409C-BE32-E72D297353CC}">
              <c16:uniqueId val="{00000001-CE92-400F-BCA8-9F71E7D21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900">
              <a:solidFill>
                <a:srgbClr val="1F3A68"/>
              </a:solidFill>
              <a:latin typeface="Aptos"/>
              <a:ea typeface="Aptos"/>
              <a:cs typeface="Apto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>
      <a:solidFill>
        <a:srgbClr val="DCE2EB"/>
      </a:solidFill>
      <a:prstDash val="solid"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Top 10 Holdings by % Portfolio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% Portfolio</c:v>
          </c:tx>
          <c:spPr>
            <a:solidFill>
              <a:srgbClr val="465F8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1F3A68"/>
                    </a:solidFill>
                    <a:latin typeface="Aptos"/>
                    <a:ea typeface="Aptos"/>
                    <a:cs typeface="Apto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9"/>
              <c:pt idx="0">
                <c:v>VSCXO</c:v>
              </c:pt>
              <c:pt idx="1">
                <c:v>MCC3O</c:v>
              </c:pt>
              <c:pt idx="2">
                <c:v>META</c:v>
              </c:pt>
              <c:pt idx="3">
                <c:v>MELI</c:v>
              </c:pt>
              <c:pt idx="4">
                <c:v>B</c:v>
              </c:pt>
              <c:pt idx="5">
                <c:v>YPFD</c:v>
              </c:pt>
              <c:pt idx="6">
                <c:v>NVDA</c:v>
              </c:pt>
              <c:pt idx="7">
                <c:v>PAMP</c:v>
              </c:pt>
              <c:pt idx="8">
                <c:v>GGAL</c:v>
              </c:pt>
            </c:strLit>
          </c:cat>
          <c:val>
            <c:numLit>
              <c:formatCode>General</c:formatCode>
              <c:ptCount val="9"/>
              <c:pt idx="0">
                <c:v>0.54929715857109918</c:v>
              </c:pt>
              <c:pt idx="1">
                <c:v>0.17075987271961618</c:v>
              </c:pt>
              <c:pt idx="2">
                <c:v>9.5763312850431825E-2</c:v>
              </c:pt>
              <c:pt idx="3">
                <c:v>4.5504235259449931E-2</c:v>
              </c:pt>
              <c:pt idx="4">
                <c:v>5.5718009235359378E-3</c:v>
              </c:pt>
              <c:pt idx="5">
                <c:v>3.7966478425916104E-3</c:v>
              </c:pt>
              <c:pt idx="6">
                <c:v>2.3505475278711094E-3</c:v>
              </c:pt>
              <c:pt idx="7">
                <c:v>8.7207940928612333E-4</c:v>
              </c:pt>
              <c:pt idx="8">
                <c:v>7.5723939668205465E-4</c:v>
              </c:pt>
            </c:numLit>
          </c:val>
          <c:extLst>
            <c:ext xmlns:c16="http://schemas.microsoft.com/office/drawing/2014/chart" uri="{C3380CC4-5D6E-409C-BE32-E72D297353CC}">
              <c16:uniqueId val="{00000001-9CFE-41F0-B5AA-C1523EE67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583024"/>
        <c:axId val="267689600"/>
      </c:barChart>
      <c:catAx>
        <c:axId val="26858302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800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endParaRPr lang="es-AR"/>
          </a:p>
        </c:txPr>
        <c:crossAx val="267689600"/>
        <c:crosses val="autoZero"/>
        <c:auto val="1"/>
        <c:lblAlgn val="ctr"/>
        <c:lblOffset val="100"/>
        <c:noMultiLvlLbl val="0"/>
      </c:catAx>
      <c:valAx>
        <c:axId val="267689600"/>
        <c:scaling>
          <c:orientation val="minMax"/>
          <c:min val="0"/>
        </c:scaling>
        <c:delete val="0"/>
        <c:axPos val="t"/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800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endParaRPr lang="es-AR"/>
          </a:p>
        </c:txPr>
        <c:crossAx val="268583024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>
      <a:solidFill>
        <a:srgbClr val="DCE2EB"/>
      </a:solidFill>
      <a:prstDash val="solid"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r>
              <a:rPr lang="es-AR"/>
              <a:t>Daily P&amp;L % - may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 P&amp;L %</c:v>
          </c:tx>
          <c:spPr>
            <a:ln w="25400">
              <a:solidFill>
                <a:srgbClr val="465F82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 w="25400">
                <a:solidFill>
                  <a:srgbClr val="465F82"/>
                </a:solidFill>
                <a:prstDash val="solid"/>
              </a:ln>
            </c:spPr>
          </c:marker>
          <c:cat>
            <c:numRef>
              <c:f>Ticker_Performance!$O$36:$O$39</c:f>
              <c:numCache>
                <c:formatCode>m/d/yyyy</c:formatCode>
                <c:ptCount val="4"/>
                <c:pt idx="0">
                  <c:v>46146</c:v>
                </c:pt>
                <c:pt idx="1">
                  <c:v>46147</c:v>
                </c:pt>
                <c:pt idx="2">
                  <c:v>46148</c:v>
                </c:pt>
                <c:pt idx="3">
                  <c:v>46149</c:v>
                </c:pt>
              </c:numCache>
            </c:numRef>
          </c:cat>
          <c:val>
            <c:numRef>
              <c:f>Ticker_Performance!$P$36:$P$39</c:f>
              <c:numCache>
                <c:formatCode>0.00%</c:formatCode>
                <c:ptCount val="4"/>
                <c:pt idx="0">
                  <c:v>-2.3311897106109324E-2</c:v>
                </c:pt>
                <c:pt idx="1">
                  <c:v>-9.876543209876543E-3</c:v>
                </c:pt>
                <c:pt idx="2">
                  <c:v>6.0681629260182876E-2</c:v>
                </c:pt>
                <c:pt idx="3">
                  <c:v>-6.269592476489028E-3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7D-43D7-95E8-6DB5CC2E3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233168"/>
        <c:axId val="268231728"/>
      </c:lineChart>
      <c:dateAx>
        <c:axId val="268233168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800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endParaRPr lang="es-AR"/>
          </a:p>
        </c:txPr>
        <c:crossAx val="268231728"/>
        <c:crosses val="autoZero"/>
        <c:auto val="1"/>
        <c:lblOffset val="100"/>
        <c:baseTimeUnit val="days"/>
      </c:dateAx>
      <c:valAx>
        <c:axId val="268231728"/>
        <c:scaling>
          <c:orientation val="minMax"/>
        </c:scaling>
        <c:delete val="0"/>
        <c:axPos val="l"/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800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endParaRPr lang="es-AR"/>
          </a:p>
        </c:txPr>
        <c:crossAx val="268233168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2700">
      <a:solidFill>
        <a:srgbClr val="DCE2EB"/>
      </a:solidFill>
      <a:prstDash val="solid"/>
    </a:ln>
  </c:spPr>
  <c:txPr>
    <a:bodyPr/>
    <a:lstStyle/>
    <a:p>
      <a:pPr>
        <a:defRPr sz="900">
          <a:solidFill>
            <a:srgbClr val="1F3A68"/>
          </a:solidFill>
          <a:latin typeface="Aptos"/>
          <a:ea typeface="Aptos"/>
          <a:cs typeface="Aptos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r>
              <a:rPr lang="es-AR"/>
              <a:t>Monthly P&amp;L %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P&amp;L %</c:v>
          </c:tx>
          <c:spPr>
            <a:ln w="25400">
              <a:solidFill>
                <a:srgbClr val="465F82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 w="25400">
                <a:solidFill>
                  <a:srgbClr val="465F82"/>
                </a:solidFill>
                <a:prstDash val="solid"/>
              </a:ln>
            </c:spPr>
          </c:marker>
          <c:cat>
            <c:numRef>
              <c:f>Ticker_Performance!$M$36:$M$45</c:f>
              <c:numCache>
                <c:formatCode>mmm\ yyyy</c:formatCode>
                <c:ptCount val="10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</c:numCache>
            </c:numRef>
          </c:cat>
          <c:val>
            <c:numRef>
              <c:f>Ticker_Performance!$N$36:$N$45</c:f>
              <c:numCache>
                <c:formatCode>0.00%</c:formatCode>
                <c:ptCount val="10"/>
                <c:pt idx="0">
                  <c:v>-0.21787552857963982</c:v>
                </c:pt>
                <c:pt idx="1">
                  <c:v>-0.3728247163138621</c:v>
                </c:pt>
                <c:pt idx="2">
                  <c:v>0.30526244334209168</c:v>
                </c:pt>
                <c:pt idx="3">
                  <c:v>0.16875958748099107</c:v>
                </c:pt>
                <c:pt idx="4">
                  <c:v>0.21007937087678366</c:v>
                </c:pt>
                <c:pt idx="5">
                  <c:v>0.22631214292513077</c:v>
                </c:pt>
                <c:pt idx="6">
                  <c:v>-3.4150063123347667E-2</c:v>
                </c:pt>
                <c:pt idx="7">
                  <c:v>1.6761812846468233E-2</c:v>
                </c:pt>
                <c:pt idx="8">
                  <c:v>-8.2110525993464092E-2</c:v>
                </c:pt>
                <c:pt idx="9">
                  <c:v>-6.4402047395267253E-2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BD-4A44-8F87-8126197C3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688640"/>
        <c:axId val="267686720"/>
      </c:lineChart>
      <c:dateAx>
        <c:axId val="2676886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800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endParaRPr lang="es-AR"/>
          </a:p>
        </c:txPr>
        <c:crossAx val="267686720"/>
        <c:crosses val="autoZero"/>
        <c:auto val="1"/>
        <c:lblOffset val="100"/>
        <c:baseTimeUnit val="months"/>
      </c:dateAx>
      <c:valAx>
        <c:axId val="267686720"/>
        <c:scaling>
          <c:orientation val="minMax"/>
        </c:scaling>
        <c:delete val="0"/>
        <c:axPos val="l"/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800">
                <a:solidFill>
                  <a:srgbClr val="1F3A68"/>
                </a:solidFill>
                <a:latin typeface="Aptos"/>
                <a:ea typeface="Aptos"/>
                <a:cs typeface="Aptos"/>
              </a:defRPr>
            </a:pPr>
            <a:endParaRPr lang="es-AR"/>
          </a:p>
        </c:txPr>
        <c:crossAx val="267688640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2700">
      <a:solidFill>
        <a:srgbClr val="DCE2EB"/>
      </a:solidFill>
      <a:prstDash val="solid"/>
    </a:ln>
  </c:spPr>
  <c:txPr>
    <a:bodyPr/>
    <a:lstStyle/>
    <a:p>
      <a:pPr>
        <a:defRPr sz="900">
          <a:solidFill>
            <a:srgbClr val="1F3A68"/>
          </a:solidFill>
          <a:latin typeface="Aptos"/>
          <a:ea typeface="Aptos"/>
          <a:cs typeface="Aptos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</xdr:row>
      <xdr:rowOff>44450</xdr:rowOff>
    </xdr:from>
    <xdr:to>
      <xdr:col>3</xdr:col>
      <xdr:colOff>904875</xdr:colOff>
      <xdr:row>5</xdr:row>
      <xdr:rowOff>73025</xdr:rowOff>
    </xdr:to>
    <xdr:sp macro="ImportBalanzFiles" textlink="">
      <xdr:nvSpPr>
        <xdr:cNvPr id="20" name="btnImportar">
          <a:extLst>
            <a:ext uri="{FF2B5EF4-FFF2-40B4-BE49-F238E27FC236}">
              <a16:creationId xmlns:a16="http://schemas.microsoft.com/office/drawing/2014/main" id="{A1F3E21E-32DF-4C4F-457E-5C0C499C7E76}"/>
            </a:ext>
          </a:extLst>
        </xdr:cNvPr>
        <xdr:cNvSpPr/>
      </xdr:nvSpPr>
      <xdr:spPr>
        <a:xfrm>
          <a:off x="2238375" y="1177925"/>
          <a:ext cx="1809750" cy="304800"/>
        </a:xfrm>
        <a:prstGeom prst="roundRect">
          <a:avLst>
            <a:gd name="adj" fmla="val 12000"/>
          </a:avLst>
        </a:prstGeom>
        <a:solidFill>
          <a:srgbClr val="EFF3F8"/>
        </a:solidFill>
        <a:ln w="11430">
          <a:solidFill>
            <a:srgbClr val="CDD6E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AR" sz="900" b="1">
              <a:solidFill>
                <a:srgbClr val="5C687A"/>
              </a:solidFill>
              <a:latin typeface="Aptos" panose="020B0004020202020204" pitchFamily="34" charset="0"/>
            </a:rPr>
            <a:t>Import Balanz Files (optional)</a:t>
          </a:r>
        </a:p>
      </xdr:txBody>
    </xdr:sp>
    <xdr:clientData/>
  </xdr:twoCellAnchor>
  <xdr:twoCellAnchor>
    <xdr:from>
      <xdr:col>2</xdr:col>
      <xdr:colOff>76200</xdr:colOff>
      <xdr:row>5</xdr:row>
      <xdr:rowOff>123825</xdr:rowOff>
    </xdr:from>
    <xdr:to>
      <xdr:col>3</xdr:col>
      <xdr:colOff>904875</xdr:colOff>
      <xdr:row>6</xdr:row>
      <xdr:rowOff>152400</xdr:rowOff>
    </xdr:to>
    <xdr:sp macro="RunUpdatePositionsFromPriceInput" textlink="">
      <xdr:nvSpPr>
        <xdr:cNvPr id="21" name="btnStep2">
          <a:extLst>
            <a:ext uri="{FF2B5EF4-FFF2-40B4-BE49-F238E27FC236}">
              <a16:creationId xmlns:a16="http://schemas.microsoft.com/office/drawing/2014/main" id="{4A3E4DA9-C82F-8F4D-21D3-ACE911312D69}"/>
            </a:ext>
          </a:extLst>
        </xdr:cNvPr>
        <xdr:cNvSpPr/>
      </xdr:nvSpPr>
      <xdr:spPr>
        <a:xfrm>
          <a:off x="2238375" y="1533525"/>
          <a:ext cx="1809750" cy="304800"/>
        </a:xfrm>
        <a:prstGeom prst="roundRect">
          <a:avLst>
            <a:gd name="adj" fmla="val 12000"/>
          </a:avLst>
        </a:prstGeom>
        <a:solidFill>
          <a:srgbClr val="1F3A68"/>
        </a:solidFill>
        <a:ln w="11430">
          <a:solidFill>
            <a:srgbClr val="A8B6C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AR" sz="900" b="1">
              <a:solidFill>
                <a:srgbClr val="FFFFFF"/>
              </a:solidFill>
              <a:latin typeface="Aptos" panose="020B0004020202020204" pitchFamily="34" charset="0"/>
            </a:rPr>
            <a:t>Update Positions</a:t>
          </a:r>
        </a:p>
      </xdr:txBody>
    </xdr:sp>
    <xdr:clientData/>
  </xdr:twoCellAnchor>
  <xdr:twoCellAnchor>
    <xdr:from>
      <xdr:col>2</xdr:col>
      <xdr:colOff>76200</xdr:colOff>
      <xdr:row>6</xdr:row>
      <xdr:rowOff>203200</xdr:rowOff>
    </xdr:from>
    <xdr:to>
      <xdr:col>3</xdr:col>
      <xdr:colOff>904875</xdr:colOff>
      <xdr:row>7</xdr:row>
      <xdr:rowOff>231775</xdr:rowOff>
    </xdr:to>
    <xdr:sp macro="RunUpdateHistoricalPricesFromPriceInput" textlink="">
      <xdr:nvSpPr>
        <xdr:cNvPr id="22" name="btnDaily">
          <a:extLst>
            <a:ext uri="{FF2B5EF4-FFF2-40B4-BE49-F238E27FC236}">
              <a16:creationId xmlns:a16="http://schemas.microsoft.com/office/drawing/2014/main" id="{8CC2354E-E522-2A7A-8A75-832836C661AA}"/>
            </a:ext>
          </a:extLst>
        </xdr:cNvPr>
        <xdr:cNvSpPr/>
      </xdr:nvSpPr>
      <xdr:spPr>
        <a:xfrm>
          <a:off x="2238375" y="1889125"/>
          <a:ext cx="1809750" cy="304800"/>
        </a:xfrm>
        <a:prstGeom prst="roundRect">
          <a:avLst>
            <a:gd name="adj" fmla="val 12000"/>
          </a:avLst>
        </a:prstGeom>
        <a:solidFill>
          <a:srgbClr val="346091"/>
        </a:solidFill>
        <a:ln w="11430">
          <a:solidFill>
            <a:srgbClr val="A8B6C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AR" sz="900" b="1">
              <a:solidFill>
                <a:srgbClr val="FFFFFF"/>
              </a:solidFill>
              <a:latin typeface="Aptos" panose="020B0004020202020204" pitchFamily="34" charset="0"/>
            </a:rPr>
            <a:t>Save Historical Prices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10</xdr:row>
      <xdr:rowOff>0</xdr:rowOff>
    </xdr:from>
    <xdr:to>
      <xdr:col>9</xdr:col>
      <xdr:colOff>523875</xdr:colOff>
      <xdr:row>20</xdr:row>
      <xdr:rowOff>0</xdr:rowOff>
    </xdr:to>
    <xdr:graphicFrame macro="">
      <xdr:nvGraphicFramePr>
        <xdr:cNvPr id="7" name="chtSummaryAssetDistribution">
          <a:extLst>
            <a:ext uri="{FF2B5EF4-FFF2-40B4-BE49-F238E27FC236}">
              <a16:creationId xmlns:a16="http://schemas.microsoft.com/office/drawing/2014/main" id="{1C6A78D7-6561-62CD-C08E-212BE2A32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20</xdr:row>
      <xdr:rowOff>152400</xdr:rowOff>
    </xdr:from>
    <xdr:to>
      <xdr:col>9</xdr:col>
      <xdr:colOff>523875</xdr:colOff>
      <xdr:row>32</xdr:row>
      <xdr:rowOff>9525</xdr:rowOff>
    </xdr:to>
    <xdr:graphicFrame macro="">
      <xdr:nvGraphicFramePr>
        <xdr:cNvPr id="8" name="chtSummaryTopHoldings">
          <a:extLst>
            <a:ext uri="{FF2B5EF4-FFF2-40B4-BE49-F238E27FC236}">
              <a16:creationId xmlns:a16="http://schemas.microsoft.com/office/drawing/2014/main" id="{ECFB1CCA-C076-B63D-8040-0B5B816D0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3</xdr:row>
      <xdr:rowOff>85725</xdr:rowOff>
    </xdr:from>
    <xdr:to>
      <xdr:col>3</xdr:col>
      <xdr:colOff>933450</xdr:colOff>
      <xdr:row>4</xdr:row>
      <xdr:rowOff>190500</xdr:rowOff>
    </xdr:to>
    <xdr:sp macro="RefreshSummaryFromSelectedDate" textlink="">
      <xdr:nvSpPr>
        <xdr:cNvPr id="9" name="btnRefreshSummary">
          <a:extLst>
            <a:ext uri="{FF2B5EF4-FFF2-40B4-BE49-F238E27FC236}">
              <a16:creationId xmlns:a16="http://schemas.microsoft.com/office/drawing/2014/main" id="{ED3567F7-945D-BC58-72CF-D785FC6B9883}"/>
            </a:ext>
          </a:extLst>
        </xdr:cNvPr>
        <xdr:cNvSpPr/>
      </xdr:nvSpPr>
      <xdr:spPr>
        <a:xfrm>
          <a:off x="2209800" y="942975"/>
          <a:ext cx="1866900" cy="381000"/>
        </a:xfrm>
        <a:prstGeom prst="roundRect">
          <a:avLst>
            <a:gd name="adj" fmla="val 12000"/>
          </a:avLst>
        </a:prstGeom>
        <a:solidFill>
          <a:srgbClr val="1F3A68"/>
        </a:solidFill>
        <a:ln w="11430">
          <a:solidFill>
            <a:srgbClr val="A8B6C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AR" sz="900" b="1">
              <a:solidFill>
                <a:srgbClr val="FFFFFF"/>
              </a:solidFill>
              <a:latin typeface="Aptos" panose="020B0004020202020204" pitchFamily="34" charset="0"/>
            </a:rPr>
            <a:t>Refresh Summary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18</xdr:row>
      <xdr:rowOff>88900</xdr:rowOff>
    </xdr:from>
    <xdr:to>
      <xdr:col>5</xdr:col>
      <xdr:colOff>869950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36F3A0-65B6-123F-800A-97E81CEFB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177800</xdr:colOff>
      <xdr:row>18</xdr:row>
      <xdr:rowOff>88900</xdr:rowOff>
    </xdr:from>
    <xdr:to>
      <xdr:col>11</xdr:col>
      <xdr:colOff>936625</xdr:colOff>
      <xdr:row>32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2859C9-C79C-8A21-CA5A-4BB4D1C33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3</xdr:row>
      <xdr:rowOff>223838</xdr:rowOff>
    </xdr:from>
    <xdr:to>
      <xdr:col>3</xdr:col>
      <xdr:colOff>933450</xdr:colOff>
      <xdr:row>5</xdr:row>
      <xdr:rowOff>52388</xdr:rowOff>
    </xdr:to>
    <xdr:sp macro="RefreshTickerPerformance" textlink="">
      <xdr:nvSpPr>
        <xdr:cNvPr id="5" name="btnRefreshTickerPerformance">
          <a:extLst>
            <a:ext uri="{FF2B5EF4-FFF2-40B4-BE49-F238E27FC236}">
              <a16:creationId xmlns:a16="http://schemas.microsoft.com/office/drawing/2014/main" id="{4501FF93-29CB-ED08-2826-D45167AF32AD}"/>
            </a:ext>
          </a:extLst>
        </xdr:cNvPr>
        <xdr:cNvSpPr/>
      </xdr:nvSpPr>
      <xdr:spPr>
        <a:xfrm>
          <a:off x="2209800" y="1081088"/>
          <a:ext cx="1866900" cy="381000"/>
        </a:xfrm>
        <a:prstGeom prst="roundRect">
          <a:avLst>
            <a:gd name="adj" fmla="val 12000"/>
          </a:avLst>
        </a:prstGeom>
        <a:solidFill>
          <a:srgbClr val="1F3A68"/>
        </a:solidFill>
        <a:ln w="11430">
          <a:solidFill>
            <a:srgbClr val="A8B6C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AR" sz="900" b="1">
              <a:solidFill>
                <a:srgbClr val="FFFFFF"/>
              </a:solidFill>
              <a:latin typeface="Aptos" panose="020B0004020202020204" pitchFamily="34" charset="0"/>
            </a:rPr>
            <a:t>Refresh Ticker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FDD0-4508-4729-B56B-72199229A5D1}">
  <sheetPr codeName="Hoja21">
    <tabColor rgb="FF1F3A68"/>
  </sheetPr>
  <dimension ref="A1:H47"/>
  <sheetViews>
    <sheetView showGridLines="0" tabSelected="1" workbookViewId="0">
      <selection sqref="A1:H1"/>
    </sheetView>
  </sheetViews>
  <sheetFormatPr defaultColWidth="11.42578125" defaultRowHeight="15" x14ac:dyDescent="0.25"/>
  <cols>
    <col min="1" max="1" width="4.7109375" style="15" customWidth="1"/>
    <col min="2" max="8" width="18.7109375" style="15" customWidth="1"/>
  </cols>
  <sheetData>
    <row r="1" spans="1:8" ht="33.950000000000003" customHeight="1" x14ac:dyDescent="0.25">
      <c r="A1" s="82" t="s">
        <v>309</v>
      </c>
      <c r="B1" s="82"/>
      <c r="C1" s="82"/>
      <c r="D1" s="82"/>
      <c r="E1" s="82"/>
      <c r="F1" s="82"/>
      <c r="G1" s="82"/>
      <c r="H1" s="82"/>
    </row>
    <row r="2" spans="1:8" ht="8.1" customHeight="1" x14ac:dyDescent="0.25">
      <c r="A2" s="73"/>
      <c r="B2" s="73"/>
      <c r="C2" s="73"/>
      <c r="D2" s="73"/>
      <c r="E2" s="73"/>
      <c r="F2" s="73"/>
      <c r="G2" s="73"/>
      <c r="H2" s="73"/>
    </row>
    <row r="3" spans="1:8" ht="30" customHeight="1" x14ac:dyDescent="0.25">
      <c r="A3" s="83" t="s">
        <v>354</v>
      </c>
      <c r="B3" s="83"/>
      <c r="C3" s="83"/>
      <c r="D3" s="83"/>
      <c r="E3" s="83"/>
      <c r="F3" s="83"/>
      <c r="G3" s="83"/>
      <c r="H3" s="83"/>
    </row>
    <row r="4" spans="1:8" ht="15" customHeight="1" x14ac:dyDescent="0.25">
      <c r="A4" s="74"/>
      <c r="B4" s="74"/>
      <c r="C4" s="74"/>
      <c r="D4" s="74"/>
      <c r="E4" s="74"/>
      <c r="F4" s="74"/>
      <c r="G4" s="74"/>
      <c r="H4" s="74"/>
    </row>
    <row r="5" spans="1:8" ht="18" customHeight="1" x14ac:dyDescent="0.25">
      <c r="A5" s="84" t="s">
        <v>310</v>
      </c>
      <c r="B5" s="84"/>
      <c r="C5" s="84"/>
      <c r="D5" s="84"/>
      <c r="E5" s="84"/>
      <c r="F5" s="84"/>
      <c r="G5" s="84"/>
      <c r="H5" s="84"/>
    </row>
    <row r="6" spans="1:8" ht="15" customHeight="1" x14ac:dyDescent="0.25">
      <c r="A6" s="72" t="s">
        <v>311</v>
      </c>
      <c r="B6" s="81" t="s">
        <v>355</v>
      </c>
      <c r="C6" s="81"/>
      <c r="D6" s="81"/>
      <c r="E6" s="81"/>
      <c r="F6" s="81"/>
      <c r="G6" s="81"/>
      <c r="H6" s="81"/>
    </row>
    <row r="7" spans="1:8" ht="15" customHeight="1" x14ac:dyDescent="0.25">
      <c r="A7" s="72" t="s">
        <v>311</v>
      </c>
      <c r="B7" s="81" t="s">
        <v>363</v>
      </c>
      <c r="C7" s="81"/>
      <c r="D7" s="81"/>
      <c r="E7" s="81"/>
      <c r="F7" s="81"/>
      <c r="G7" s="81"/>
      <c r="H7" s="81"/>
    </row>
    <row r="8" spans="1:8" ht="15" customHeight="1" x14ac:dyDescent="0.25">
      <c r="A8" s="72" t="s">
        <v>311</v>
      </c>
      <c r="B8" s="81" t="s">
        <v>364</v>
      </c>
      <c r="C8" s="81"/>
      <c r="D8" s="81"/>
      <c r="E8" s="81"/>
      <c r="F8" s="81"/>
      <c r="G8" s="81"/>
      <c r="H8" s="81"/>
    </row>
    <row r="9" spans="1:8" ht="15" customHeight="1" x14ac:dyDescent="0.25">
      <c r="A9" s="74"/>
      <c r="B9" s="74"/>
      <c r="C9" s="74"/>
      <c r="D9" s="74"/>
      <c r="E9" s="74"/>
      <c r="F9" s="74"/>
      <c r="G9" s="74"/>
      <c r="H9" s="74"/>
    </row>
    <row r="10" spans="1:8" ht="18" customHeight="1" x14ac:dyDescent="0.25">
      <c r="A10" s="84" t="s">
        <v>356</v>
      </c>
      <c r="B10" s="84"/>
      <c r="C10" s="84"/>
      <c r="D10" s="84"/>
      <c r="E10" s="84"/>
      <c r="F10" s="84"/>
      <c r="G10" s="84"/>
      <c r="H10" s="84"/>
    </row>
    <row r="11" spans="1:8" ht="15" customHeight="1" x14ac:dyDescent="0.25">
      <c r="A11" s="72" t="s">
        <v>311</v>
      </c>
      <c r="B11" s="81" t="s">
        <v>365</v>
      </c>
      <c r="C11" s="81"/>
      <c r="D11" s="81"/>
      <c r="E11" s="81"/>
      <c r="F11" s="81"/>
      <c r="G11" s="81"/>
      <c r="H11" s="81"/>
    </row>
    <row r="12" spans="1:8" ht="15" customHeight="1" x14ac:dyDescent="0.25">
      <c r="A12" s="72" t="s">
        <v>311</v>
      </c>
      <c r="B12" s="81" t="s">
        <v>366</v>
      </c>
      <c r="C12" s="81"/>
      <c r="D12" s="81"/>
      <c r="E12" s="81"/>
      <c r="F12" s="81"/>
      <c r="G12" s="81"/>
      <c r="H12" s="81"/>
    </row>
    <row r="13" spans="1:8" ht="15" customHeight="1" x14ac:dyDescent="0.25">
      <c r="A13" s="72" t="s">
        <v>311</v>
      </c>
      <c r="B13" s="81" t="s">
        <v>367</v>
      </c>
      <c r="C13" s="81"/>
      <c r="D13" s="81"/>
      <c r="E13" s="81"/>
      <c r="F13" s="81"/>
      <c r="G13" s="81"/>
      <c r="H13" s="81"/>
    </row>
    <row r="14" spans="1:8" ht="15" customHeight="1" x14ac:dyDescent="0.25">
      <c r="A14" s="74"/>
      <c r="B14" s="74"/>
      <c r="C14" s="74"/>
      <c r="D14" s="74"/>
      <c r="E14" s="74"/>
      <c r="F14" s="74"/>
      <c r="G14" s="74"/>
      <c r="H14" s="74"/>
    </row>
    <row r="15" spans="1:8" ht="18" customHeight="1" x14ac:dyDescent="0.25">
      <c r="A15" s="84" t="s">
        <v>357</v>
      </c>
      <c r="B15" s="84"/>
      <c r="C15" s="84"/>
      <c r="D15" s="84"/>
      <c r="E15" s="84"/>
      <c r="F15" s="84"/>
      <c r="G15" s="84"/>
      <c r="H15" s="84"/>
    </row>
    <row r="16" spans="1:8" ht="15" customHeight="1" x14ac:dyDescent="0.25">
      <c r="A16" s="72" t="s">
        <v>311</v>
      </c>
      <c r="B16" s="81" t="s">
        <v>312</v>
      </c>
      <c r="C16" s="81"/>
      <c r="D16" s="81"/>
      <c r="E16" s="81"/>
      <c r="F16" s="81"/>
      <c r="G16" s="81"/>
      <c r="H16" s="81"/>
    </row>
    <row r="17" spans="1:8" ht="15" customHeight="1" x14ac:dyDescent="0.25">
      <c r="A17" s="72" t="s">
        <v>311</v>
      </c>
      <c r="B17" s="81" t="s">
        <v>358</v>
      </c>
      <c r="C17" s="81"/>
      <c r="D17" s="81"/>
      <c r="E17" s="81"/>
      <c r="F17" s="81"/>
      <c r="G17" s="81"/>
      <c r="H17" s="81"/>
    </row>
    <row r="18" spans="1:8" ht="15" customHeight="1" x14ac:dyDescent="0.25">
      <c r="A18" s="72" t="s">
        <v>311</v>
      </c>
      <c r="B18" s="81" t="s">
        <v>368</v>
      </c>
      <c r="C18" s="81"/>
      <c r="D18" s="81"/>
      <c r="E18" s="81"/>
      <c r="F18" s="81"/>
      <c r="G18" s="81"/>
      <c r="H18" s="81"/>
    </row>
    <row r="19" spans="1:8" ht="15" customHeight="1" x14ac:dyDescent="0.25">
      <c r="A19" s="74"/>
      <c r="B19" s="74"/>
      <c r="C19" s="74"/>
      <c r="D19" s="74"/>
      <c r="E19" s="74"/>
      <c r="F19" s="74"/>
      <c r="G19" s="74"/>
      <c r="H19" s="74"/>
    </row>
    <row r="20" spans="1:8" ht="18" customHeight="1" x14ac:dyDescent="0.25">
      <c r="A20" s="84" t="s">
        <v>313</v>
      </c>
      <c r="B20" s="84"/>
      <c r="C20" s="84"/>
      <c r="D20" s="84"/>
      <c r="E20" s="84"/>
      <c r="F20" s="84"/>
      <c r="G20" s="84"/>
      <c r="H20" s="84"/>
    </row>
    <row r="21" spans="1:8" ht="15" customHeight="1" x14ac:dyDescent="0.25">
      <c r="A21" s="72" t="s">
        <v>311</v>
      </c>
      <c r="B21" s="81" t="s">
        <v>314</v>
      </c>
      <c r="C21" s="81"/>
      <c r="D21" s="81"/>
      <c r="E21" s="81"/>
      <c r="F21" s="81"/>
      <c r="G21" s="81"/>
      <c r="H21" s="81"/>
    </row>
    <row r="22" spans="1:8" ht="15" customHeight="1" x14ac:dyDescent="0.25">
      <c r="A22" s="72" t="s">
        <v>311</v>
      </c>
      <c r="B22" s="81" t="s">
        <v>359</v>
      </c>
      <c r="C22" s="81"/>
      <c r="D22" s="81"/>
      <c r="E22" s="81"/>
      <c r="F22" s="81"/>
      <c r="G22" s="81"/>
      <c r="H22" s="81"/>
    </row>
    <row r="23" spans="1:8" ht="15" customHeight="1" x14ac:dyDescent="0.25">
      <c r="A23" s="72" t="s">
        <v>311</v>
      </c>
      <c r="B23" s="81" t="s">
        <v>369</v>
      </c>
      <c r="C23" s="81"/>
      <c r="D23" s="81"/>
      <c r="E23" s="81"/>
      <c r="F23" s="81"/>
      <c r="G23" s="81"/>
      <c r="H23" s="81"/>
    </row>
    <row r="24" spans="1:8" ht="15" customHeight="1" x14ac:dyDescent="0.25">
      <c r="A24" s="74"/>
      <c r="B24" s="74"/>
      <c r="C24" s="74"/>
      <c r="D24" s="74"/>
      <c r="E24" s="74"/>
      <c r="F24" s="74"/>
      <c r="G24" s="74"/>
      <c r="H24" s="74"/>
    </row>
    <row r="25" spans="1:8" ht="18" customHeight="1" x14ac:dyDescent="0.25">
      <c r="A25" s="84" t="s">
        <v>315</v>
      </c>
      <c r="B25" s="84"/>
      <c r="C25" s="84"/>
      <c r="D25" s="84"/>
      <c r="E25" s="84"/>
      <c r="F25" s="84"/>
      <c r="G25" s="84"/>
      <c r="H25" s="84"/>
    </row>
    <row r="26" spans="1:8" ht="15" customHeight="1" x14ac:dyDescent="0.25">
      <c r="A26" s="72" t="s">
        <v>311</v>
      </c>
      <c r="B26" s="81" t="s">
        <v>370</v>
      </c>
      <c r="C26" s="81"/>
      <c r="D26" s="81"/>
      <c r="E26" s="81"/>
      <c r="F26" s="81"/>
      <c r="G26" s="81"/>
      <c r="H26" s="81"/>
    </row>
    <row r="27" spans="1:8" ht="15" customHeight="1" x14ac:dyDescent="0.25">
      <c r="A27" s="72" t="s">
        <v>311</v>
      </c>
      <c r="B27" s="81" t="s">
        <v>360</v>
      </c>
      <c r="C27" s="81"/>
      <c r="D27" s="81"/>
      <c r="E27" s="81"/>
      <c r="F27" s="81"/>
      <c r="G27" s="81"/>
      <c r="H27" s="81"/>
    </row>
    <row r="28" spans="1:8" ht="15" customHeight="1" x14ac:dyDescent="0.25">
      <c r="A28" s="72" t="s">
        <v>311</v>
      </c>
      <c r="B28" s="81" t="s">
        <v>371</v>
      </c>
      <c r="C28" s="81"/>
      <c r="D28" s="81"/>
      <c r="E28" s="81"/>
      <c r="F28" s="81"/>
      <c r="G28" s="81"/>
      <c r="H28" s="81"/>
    </row>
    <row r="29" spans="1:8" ht="15" customHeight="1" x14ac:dyDescent="0.25">
      <c r="A29" s="74"/>
      <c r="B29" s="74"/>
      <c r="C29" s="74"/>
      <c r="D29" s="74"/>
      <c r="E29" s="74"/>
      <c r="F29" s="74"/>
      <c r="G29" s="74"/>
      <c r="H29" s="74"/>
    </row>
    <row r="30" spans="1:8" ht="18" customHeight="1" x14ac:dyDescent="0.25">
      <c r="A30" s="84" t="s">
        <v>316</v>
      </c>
      <c r="B30" s="84"/>
      <c r="C30" s="84"/>
      <c r="D30" s="84"/>
      <c r="E30" s="84"/>
      <c r="F30" s="84"/>
      <c r="G30" s="84"/>
      <c r="H30" s="84"/>
    </row>
    <row r="31" spans="1:8" ht="15" customHeight="1" x14ac:dyDescent="0.25">
      <c r="A31" s="72" t="s">
        <v>311</v>
      </c>
      <c r="B31" s="81" t="s">
        <v>317</v>
      </c>
      <c r="C31" s="81"/>
      <c r="D31" s="81"/>
      <c r="E31" s="81"/>
      <c r="F31" s="81"/>
      <c r="G31" s="81"/>
      <c r="H31" s="81"/>
    </row>
    <row r="32" spans="1:8" ht="15" customHeight="1" x14ac:dyDescent="0.25">
      <c r="A32" s="72" t="s">
        <v>311</v>
      </c>
      <c r="B32" s="81" t="s">
        <v>372</v>
      </c>
      <c r="C32" s="81"/>
      <c r="D32" s="81"/>
      <c r="E32" s="81"/>
      <c r="F32" s="81"/>
      <c r="G32" s="81"/>
      <c r="H32" s="81"/>
    </row>
    <row r="33" spans="1:8" ht="15" customHeight="1" x14ac:dyDescent="0.25">
      <c r="A33" s="72" t="s">
        <v>311</v>
      </c>
      <c r="B33" s="81" t="s">
        <v>318</v>
      </c>
      <c r="C33" s="81"/>
      <c r="D33" s="81"/>
      <c r="E33" s="81"/>
      <c r="F33" s="81"/>
      <c r="G33" s="81"/>
      <c r="H33" s="81"/>
    </row>
    <row r="34" spans="1:8" ht="15" customHeight="1" x14ac:dyDescent="0.25">
      <c r="A34" s="74"/>
      <c r="B34" s="74"/>
      <c r="C34" s="74"/>
      <c r="D34" s="74"/>
      <c r="E34" s="74"/>
      <c r="F34" s="74"/>
      <c r="G34" s="74"/>
      <c r="H34" s="74"/>
    </row>
    <row r="35" spans="1:8" ht="18" customHeight="1" x14ac:dyDescent="0.25">
      <c r="A35" s="84" t="s">
        <v>319</v>
      </c>
      <c r="B35" s="84"/>
      <c r="C35" s="84"/>
      <c r="D35" s="84"/>
      <c r="E35" s="84"/>
      <c r="F35" s="84"/>
      <c r="G35" s="84"/>
      <c r="H35" s="84"/>
    </row>
    <row r="36" spans="1:8" ht="15" customHeight="1" x14ac:dyDescent="0.25">
      <c r="A36" s="72" t="s">
        <v>311</v>
      </c>
      <c r="B36" s="81" t="s">
        <v>361</v>
      </c>
      <c r="C36" s="81"/>
      <c r="D36" s="81"/>
      <c r="E36" s="81"/>
      <c r="F36" s="81"/>
      <c r="G36" s="81"/>
      <c r="H36" s="81"/>
    </row>
    <row r="37" spans="1:8" ht="15" customHeight="1" x14ac:dyDescent="0.25">
      <c r="A37" s="72" t="s">
        <v>311</v>
      </c>
      <c r="B37" s="81" t="s">
        <v>320</v>
      </c>
      <c r="C37" s="81"/>
      <c r="D37" s="81"/>
      <c r="E37" s="81"/>
      <c r="F37" s="81"/>
      <c r="G37" s="81"/>
      <c r="H37" s="81"/>
    </row>
    <row r="38" spans="1:8" ht="15" customHeight="1" x14ac:dyDescent="0.25">
      <c r="A38" s="72" t="s">
        <v>311</v>
      </c>
      <c r="B38" s="81" t="s">
        <v>362</v>
      </c>
      <c r="C38" s="81"/>
      <c r="D38" s="81"/>
      <c r="E38" s="81"/>
      <c r="F38" s="81"/>
      <c r="G38" s="81"/>
      <c r="H38" s="81"/>
    </row>
    <row r="39" spans="1:8" ht="15" customHeight="1" x14ac:dyDescent="0.25"/>
    <row r="40" spans="1:8" ht="15" customHeight="1" x14ac:dyDescent="0.25"/>
    <row r="41" spans="1:8" ht="18" customHeight="1" x14ac:dyDescent="0.25"/>
    <row r="42" spans="1:8" ht="18" customHeight="1" x14ac:dyDescent="0.25"/>
    <row r="43" spans="1:8" ht="20.100000000000001" customHeight="1" x14ac:dyDescent="0.25"/>
    <row r="44" spans="1:8" ht="20.100000000000001" customHeight="1" x14ac:dyDescent="0.25"/>
    <row r="45" spans="1:8" ht="20.100000000000001" customHeight="1" x14ac:dyDescent="0.25"/>
    <row r="46" spans="1:8" ht="20.100000000000001" customHeight="1" x14ac:dyDescent="0.25"/>
    <row r="47" spans="1:8" ht="18" customHeight="1" x14ac:dyDescent="0.25"/>
  </sheetData>
  <mergeCells count="30">
    <mergeCell ref="A10:H10"/>
    <mergeCell ref="B11:H11"/>
    <mergeCell ref="A15:H15"/>
    <mergeCell ref="A20:H20"/>
    <mergeCell ref="B12:H12"/>
    <mergeCell ref="B13:H13"/>
    <mergeCell ref="B16:H16"/>
    <mergeCell ref="B17:H17"/>
    <mergeCell ref="B18:H18"/>
    <mergeCell ref="B21:H21"/>
    <mergeCell ref="B22:H22"/>
    <mergeCell ref="A25:H25"/>
    <mergeCell ref="B23:H23"/>
    <mergeCell ref="A35:H35"/>
    <mergeCell ref="B36:H36"/>
    <mergeCell ref="B37:H37"/>
    <mergeCell ref="B38:H38"/>
    <mergeCell ref="B26:H26"/>
    <mergeCell ref="A30:H30"/>
    <mergeCell ref="B27:H27"/>
    <mergeCell ref="B28:H28"/>
    <mergeCell ref="B33:H33"/>
    <mergeCell ref="B31:H31"/>
    <mergeCell ref="B32:H32"/>
    <mergeCell ref="B8:H8"/>
    <mergeCell ref="A1:H1"/>
    <mergeCell ref="A3:H3"/>
    <mergeCell ref="A5:H5"/>
    <mergeCell ref="B6:H6"/>
    <mergeCell ref="B7:H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rgb="FF2465B0"/>
  </sheetPr>
  <dimension ref="A1:O66"/>
  <sheetViews>
    <sheetView showGridLines="0" zoomScaleNormal="100" workbookViewId="0">
      <pane ySplit="11" topLeftCell="A12" activePane="bottomLeft" state="frozen"/>
      <selection pane="bottomLeft" sqref="A1:K2"/>
    </sheetView>
  </sheetViews>
  <sheetFormatPr defaultColWidth="8.7109375" defaultRowHeight="12" x14ac:dyDescent="0.25"/>
  <cols>
    <col min="1" max="1" width="16.7109375" style="38" customWidth="1"/>
    <col min="2" max="2" width="15.7109375" style="38" customWidth="1"/>
    <col min="3" max="4" width="14.7109375" style="38" customWidth="1"/>
    <col min="5" max="5" width="16.7109375" style="38" customWidth="1"/>
    <col min="6" max="8" width="14.7109375" style="38" customWidth="1"/>
    <col min="9" max="9" width="3.7109375" style="38" customWidth="1"/>
    <col min="10" max="10" width="18.7109375" style="38" customWidth="1"/>
    <col min="11" max="11" width="16.7109375" style="38" customWidth="1"/>
    <col min="12" max="16384" width="8.7109375" style="38"/>
  </cols>
  <sheetData>
    <row r="1" spans="1:15" ht="30" customHeight="1" x14ac:dyDescent="0.25">
      <c r="A1" s="82" t="s">
        <v>331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/>
      <c r="M1"/>
      <c r="N1"/>
      <c r="O1"/>
    </row>
    <row r="2" spans="1:15" ht="30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5" ht="8.1" customHeight="1" x14ac:dyDescent="0.25">
      <c r="A3" s="23"/>
      <c r="B3" s="23"/>
      <c r="C3" s="23"/>
      <c r="D3" s="23"/>
      <c r="E3" s="23"/>
      <c r="F3" s="23"/>
      <c r="G3" s="23"/>
      <c r="H3" s="23"/>
      <c r="I3" s="17"/>
      <c r="J3" s="17"/>
      <c r="K3" s="17"/>
    </row>
    <row r="4" spans="1:15" ht="21.95" customHeight="1" x14ac:dyDescent="0.25">
      <c r="A4" s="16"/>
      <c r="B4" s="16" t="s">
        <v>17</v>
      </c>
      <c r="C4" s="17"/>
      <c r="D4" s="17"/>
      <c r="E4" s="23"/>
      <c r="F4" s="23"/>
      <c r="G4" s="23"/>
      <c r="H4" s="23"/>
      <c r="I4" s="17"/>
      <c r="J4" s="17"/>
      <c r="K4" s="17"/>
    </row>
    <row r="5" spans="1:15" ht="21.95" customHeight="1" x14ac:dyDescent="0.25">
      <c r="A5" s="62" t="s">
        <v>18</v>
      </c>
      <c r="B5" s="63"/>
      <c r="C5" s="17"/>
      <c r="D5" s="17"/>
      <c r="E5" s="92" t="s">
        <v>332</v>
      </c>
      <c r="F5" s="92"/>
      <c r="G5" s="92"/>
      <c r="H5" s="92"/>
      <c r="I5" s="17"/>
      <c r="J5" s="17"/>
      <c r="K5" s="17"/>
    </row>
    <row r="6" spans="1:15" ht="21.95" customHeight="1" x14ac:dyDescent="0.25">
      <c r="A6" s="62" t="s">
        <v>19</v>
      </c>
      <c r="B6" s="63"/>
      <c r="C6" s="17"/>
      <c r="D6" s="17"/>
      <c r="E6" s="92"/>
      <c r="F6" s="92"/>
      <c r="G6" s="92"/>
      <c r="H6" s="92"/>
      <c r="I6" s="17"/>
      <c r="J6" s="17"/>
      <c r="K6" s="17"/>
    </row>
    <row r="7" spans="1:15" ht="21.95" customHeight="1" x14ac:dyDescent="0.25">
      <c r="A7" s="62" t="s">
        <v>20</v>
      </c>
      <c r="B7" s="63"/>
      <c r="C7" s="17"/>
      <c r="D7" s="17"/>
      <c r="E7" s="92"/>
      <c r="F7" s="92"/>
      <c r="G7" s="92"/>
      <c r="H7" s="92"/>
      <c r="I7" s="17"/>
      <c r="J7" s="17"/>
      <c r="K7" s="17"/>
    </row>
    <row r="8" spans="1:15" ht="21.95" customHeight="1" x14ac:dyDescent="0.25">
      <c r="A8" s="62" t="s">
        <v>21</v>
      </c>
      <c r="B8" s="79"/>
      <c r="C8" s="78"/>
      <c r="D8" s="78"/>
      <c r="E8" s="92"/>
      <c r="F8" s="92"/>
      <c r="G8" s="92"/>
      <c r="H8" s="92"/>
      <c r="I8" s="17"/>
      <c r="J8" s="17"/>
      <c r="K8" s="17"/>
    </row>
    <row r="9" spans="1:15" ht="14.1" customHeight="1" x14ac:dyDescent="0.25">
      <c r="A9" s="17"/>
      <c r="B9" s="17"/>
      <c r="C9" s="17"/>
      <c r="D9" s="17"/>
      <c r="E9" s="23"/>
      <c r="F9" s="23"/>
      <c r="G9" s="23"/>
      <c r="H9" s="23"/>
      <c r="I9" s="17"/>
      <c r="J9" s="17"/>
      <c r="K9" s="17"/>
    </row>
    <row r="10" spans="1:15" ht="21.95" customHeight="1" x14ac:dyDescent="0.25">
      <c r="A10" s="85" t="s">
        <v>329</v>
      </c>
      <c r="B10" s="86"/>
      <c r="C10" s="86"/>
      <c r="D10" s="86"/>
      <c r="E10" s="86"/>
      <c r="F10" s="86"/>
      <c r="G10" s="86"/>
      <c r="H10" s="87"/>
      <c r="I10" s="17"/>
      <c r="J10" s="85" t="s">
        <v>330</v>
      </c>
      <c r="K10" s="87"/>
    </row>
    <row r="11" spans="1:15" ht="33.950000000000003" customHeight="1" x14ac:dyDescent="0.25">
      <c r="A11" s="18" t="s">
        <v>2</v>
      </c>
      <c r="B11" s="18" t="s">
        <v>3</v>
      </c>
      <c r="C11" s="18" t="s">
        <v>14</v>
      </c>
      <c r="D11" s="18" t="s">
        <v>87</v>
      </c>
      <c r="E11" s="18" t="s">
        <v>183</v>
      </c>
      <c r="F11" s="18" t="s">
        <v>182</v>
      </c>
      <c r="G11" s="18" t="s">
        <v>22</v>
      </c>
      <c r="H11" s="18" t="s">
        <v>23</v>
      </c>
      <c r="I11" s="17"/>
      <c r="J11" s="8" t="s">
        <v>3</v>
      </c>
      <c r="K11" s="8" t="s">
        <v>202</v>
      </c>
    </row>
    <row r="12" spans="1:15" x14ac:dyDescent="0.25">
      <c r="A12" s="9"/>
      <c r="B12" s="9"/>
      <c r="C12" s="9"/>
      <c r="D12" s="10"/>
      <c r="E12" s="30"/>
      <c r="F12" s="10"/>
      <c r="G12" s="11" t="str">
        <f t="shared" ref="G12:G20" si="0">IFERROR(F12/D12,"")</f>
        <v/>
      </c>
      <c r="H12" s="11" t="str">
        <f t="shared" ref="H12:H20" si="1">IFERROR(G12/$B$6,"")</f>
        <v/>
      </c>
      <c r="I12" s="17"/>
      <c r="J12" s="45" t="s">
        <v>53</v>
      </c>
      <c r="K12" s="44">
        <f>SUMIFS($E$12:$E$20,$B$12:$B$20,J12)</f>
        <v>0</v>
      </c>
    </row>
    <row r="13" spans="1:15" x14ac:dyDescent="0.25">
      <c r="A13" s="32"/>
      <c r="B13" s="32"/>
      <c r="C13" s="32"/>
      <c r="D13" s="33"/>
      <c r="E13" s="30"/>
      <c r="F13" s="33"/>
      <c r="G13" s="35" t="str">
        <f t="shared" si="0"/>
        <v/>
      </c>
      <c r="H13" s="35" t="str">
        <f t="shared" si="1"/>
        <v/>
      </c>
      <c r="I13" s="17"/>
      <c r="J13" s="61" t="s">
        <v>34</v>
      </c>
      <c r="K13" s="60">
        <f>SUMIFS($E$12:$E$20,$B$12:$B$20,J13)</f>
        <v>0</v>
      </c>
    </row>
    <row r="14" spans="1:15" x14ac:dyDescent="0.25">
      <c r="A14" s="9"/>
      <c r="B14" s="9"/>
      <c r="C14" s="9"/>
      <c r="D14" s="10"/>
      <c r="E14" s="30"/>
      <c r="F14" s="10"/>
      <c r="G14" s="11" t="str">
        <f t="shared" si="0"/>
        <v/>
      </c>
      <c r="H14" s="11" t="str">
        <f t="shared" si="1"/>
        <v/>
      </c>
      <c r="I14" s="17"/>
      <c r="J14" s="46" t="s">
        <v>39</v>
      </c>
      <c r="K14" s="47">
        <f>SUMIFS($E$12:$E$20,$B$12:$B$20,J14)</f>
        <v>0</v>
      </c>
    </row>
    <row r="15" spans="1:15" x14ac:dyDescent="0.25">
      <c r="A15" s="32"/>
      <c r="B15" s="32"/>
      <c r="C15" s="32"/>
      <c r="D15" s="33"/>
      <c r="E15" s="30"/>
      <c r="F15" s="33"/>
      <c r="G15" s="35" t="str">
        <f t="shared" si="0"/>
        <v/>
      </c>
      <c r="H15" s="35" t="str">
        <f t="shared" si="1"/>
        <v/>
      </c>
      <c r="I15" s="17"/>
      <c r="J15" s="24" t="s">
        <v>201</v>
      </c>
      <c r="K15" s="48">
        <f>SUM($K$12:$K$14)</f>
        <v>0</v>
      </c>
    </row>
    <row r="16" spans="1:15" x14ac:dyDescent="0.25">
      <c r="A16" s="9"/>
      <c r="B16" s="9"/>
      <c r="C16" s="9"/>
      <c r="D16" s="10"/>
      <c r="E16" s="30"/>
      <c r="F16" s="10"/>
      <c r="G16" s="11" t="str">
        <f t="shared" si="0"/>
        <v/>
      </c>
      <c r="H16" s="11" t="str">
        <f t="shared" si="1"/>
        <v/>
      </c>
      <c r="I16" s="17"/>
      <c r="J16" s="17"/>
      <c r="K16" s="17"/>
    </row>
    <row r="17" spans="1:11" x14ac:dyDescent="0.25">
      <c r="A17" s="32"/>
      <c r="B17" s="32"/>
      <c r="C17" s="32"/>
      <c r="D17" s="33"/>
      <c r="E17" s="30"/>
      <c r="F17" s="33"/>
      <c r="G17" s="35" t="str">
        <f t="shared" si="0"/>
        <v/>
      </c>
      <c r="H17" s="35" t="str">
        <f t="shared" si="1"/>
        <v/>
      </c>
      <c r="I17" s="17"/>
      <c r="J17" s="17"/>
      <c r="K17" s="17"/>
    </row>
    <row r="18" spans="1:11" x14ac:dyDescent="0.25">
      <c r="A18" s="9"/>
      <c r="B18" s="9"/>
      <c r="C18" s="9"/>
      <c r="D18" s="10"/>
      <c r="E18" s="30"/>
      <c r="F18" s="10"/>
      <c r="G18" s="11" t="str">
        <f t="shared" si="0"/>
        <v/>
      </c>
      <c r="H18" s="11" t="str">
        <f t="shared" si="1"/>
        <v/>
      </c>
      <c r="I18" s="17"/>
      <c r="J18" s="17"/>
      <c r="K18" s="17"/>
    </row>
    <row r="19" spans="1:11" x14ac:dyDescent="0.25">
      <c r="A19" s="32"/>
      <c r="B19" s="32"/>
      <c r="C19" s="32"/>
      <c r="D19" s="33"/>
      <c r="E19" s="30"/>
      <c r="F19" s="33"/>
      <c r="G19" s="35" t="str">
        <f t="shared" si="0"/>
        <v/>
      </c>
      <c r="H19" s="35" t="str">
        <f t="shared" si="1"/>
        <v/>
      </c>
      <c r="I19" s="17"/>
      <c r="J19" s="17"/>
      <c r="K19" s="17"/>
    </row>
    <row r="20" spans="1:11" x14ac:dyDescent="0.25">
      <c r="A20" s="19"/>
      <c r="B20" s="19"/>
      <c r="C20" s="19"/>
      <c r="D20" s="20"/>
      <c r="E20" s="69"/>
      <c r="F20" s="20"/>
      <c r="G20" s="21" t="str">
        <f t="shared" si="0"/>
        <v/>
      </c>
      <c r="H20" s="21" t="str">
        <f t="shared" si="1"/>
        <v/>
      </c>
      <c r="I20" s="17"/>
      <c r="J20" s="17"/>
      <c r="K20" s="17"/>
    </row>
    <row r="21" spans="1:11" x14ac:dyDescent="0.25">
      <c r="A21" s="88" t="s">
        <v>196</v>
      </c>
      <c r="B21" s="89"/>
      <c r="C21" s="89"/>
      <c r="D21" s="90"/>
      <c r="E21" s="25">
        <f>SUM(F12:F20)</f>
        <v>0</v>
      </c>
      <c r="F21" s="25"/>
      <c r="G21" s="26"/>
      <c r="H21" s="49"/>
      <c r="I21" s="17"/>
      <c r="J21" s="17"/>
      <c r="K21" s="17"/>
    </row>
    <row r="22" spans="1:11" ht="12" customHeight="1" x14ac:dyDescent="0.25">
      <c r="A22" s="17" t="s">
        <v>197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21.95" customHeight="1" x14ac:dyDescent="0.25">
      <c r="A23" s="85" t="s">
        <v>219</v>
      </c>
      <c r="B23" s="86"/>
      <c r="C23" s="86"/>
      <c r="D23" s="86"/>
      <c r="E23" s="86"/>
      <c r="F23" s="86"/>
      <c r="G23" s="86"/>
      <c r="H23" s="87"/>
      <c r="I23" s="17"/>
      <c r="J23" s="17"/>
      <c r="K23" s="17"/>
    </row>
    <row r="24" spans="1:11" x14ac:dyDescent="0.25">
      <c r="A24" s="9" t="s">
        <v>24</v>
      </c>
      <c r="B24" s="9" t="s">
        <v>25</v>
      </c>
      <c r="C24" s="10"/>
      <c r="D24" s="10"/>
      <c r="E24" s="50"/>
      <c r="F24" s="44"/>
      <c r="G24" s="10"/>
      <c r="H24" s="10"/>
      <c r="I24" s="17"/>
      <c r="J24" s="17"/>
      <c r="K24" s="17"/>
    </row>
    <row r="25" spans="1:11" x14ac:dyDescent="0.25">
      <c r="A25" s="32" t="s">
        <v>26</v>
      </c>
      <c r="B25" s="32" t="s">
        <v>27</v>
      </c>
      <c r="C25" s="33"/>
      <c r="D25" s="33"/>
      <c r="E25" s="52"/>
      <c r="F25" s="60"/>
      <c r="G25" s="33"/>
      <c r="H25" s="33"/>
      <c r="I25" s="17"/>
      <c r="J25" s="17"/>
      <c r="K25" s="17"/>
    </row>
    <row r="26" spans="1:11" x14ac:dyDescent="0.25">
      <c r="A26" s="9" t="s">
        <v>198</v>
      </c>
      <c r="B26" s="9" t="s">
        <v>85</v>
      </c>
      <c r="C26" s="10"/>
      <c r="D26" s="10"/>
      <c r="E26" s="50"/>
      <c r="F26" s="44"/>
      <c r="G26" s="10"/>
      <c r="H26" s="10"/>
      <c r="I26" s="17"/>
      <c r="J26" s="17"/>
      <c r="K26" s="17"/>
    </row>
    <row r="27" spans="1:11" ht="15" x14ac:dyDescent="0.25">
      <c r="A27"/>
      <c r="B27"/>
      <c r="C27"/>
      <c r="D27"/>
      <c r="E27"/>
      <c r="F27"/>
      <c r="G27"/>
      <c r="H27"/>
      <c r="I27"/>
      <c r="J27"/>
      <c r="K27"/>
    </row>
    <row r="28" spans="1:11" ht="15" x14ac:dyDescent="0.25">
      <c r="A28"/>
      <c r="B28"/>
      <c r="C28"/>
      <c r="D28"/>
      <c r="E28"/>
      <c r="F28"/>
      <c r="G28"/>
      <c r="H28"/>
      <c r="I28"/>
      <c r="J28"/>
      <c r="K28"/>
    </row>
    <row r="29" spans="1:11" ht="15" x14ac:dyDescent="0.25">
      <c r="A29"/>
      <c r="B29"/>
      <c r="C29"/>
      <c r="D29"/>
      <c r="E29"/>
      <c r="F29"/>
      <c r="G29"/>
      <c r="H29"/>
      <c r="I29"/>
      <c r="J29"/>
      <c r="K29"/>
    </row>
    <row r="30" spans="1:11" ht="15" x14ac:dyDescent="0.25">
      <c r="A30"/>
      <c r="B30"/>
      <c r="C30"/>
      <c r="D30"/>
      <c r="E30"/>
      <c r="F30"/>
      <c r="G30"/>
      <c r="H30"/>
      <c r="I30"/>
      <c r="J30"/>
      <c r="K30"/>
    </row>
    <row r="31" spans="1:11" ht="15" x14ac:dyDescent="0.25">
      <c r="A31"/>
      <c r="B31"/>
      <c r="C31"/>
      <c r="D31"/>
      <c r="E31"/>
      <c r="F31"/>
      <c r="G31"/>
      <c r="H31"/>
      <c r="I31"/>
      <c r="J31"/>
      <c r="K31"/>
    </row>
    <row r="32" spans="1:11" ht="15" x14ac:dyDescent="0.25">
      <c r="A32"/>
      <c r="B32"/>
      <c r="C32"/>
      <c r="D32"/>
      <c r="E32"/>
      <c r="F32"/>
      <c r="G32"/>
      <c r="H32"/>
      <c r="I32"/>
      <c r="J32"/>
      <c r="K32"/>
    </row>
    <row r="33" spans="1:11" ht="15" x14ac:dyDescent="0.25">
      <c r="A33"/>
      <c r="B33"/>
      <c r="C33"/>
      <c r="D33"/>
      <c r="E33"/>
      <c r="F33"/>
      <c r="G33"/>
      <c r="H33"/>
      <c r="I33"/>
      <c r="J33"/>
      <c r="K33"/>
    </row>
    <row r="34" spans="1:11" ht="15" x14ac:dyDescent="0.25">
      <c r="A34"/>
      <c r="B34"/>
      <c r="C34"/>
      <c r="D34"/>
      <c r="E34"/>
      <c r="F34"/>
      <c r="G34"/>
      <c r="H34"/>
      <c r="I34"/>
      <c r="J34"/>
      <c r="K34"/>
    </row>
    <row r="35" spans="1:11" ht="15" x14ac:dyDescent="0.25">
      <c r="A35"/>
      <c r="B35"/>
      <c r="C35"/>
      <c r="D35"/>
      <c r="E35"/>
      <c r="F35"/>
      <c r="G35"/>
      <c r="H35"/>
      <c r="I35"/>
      <c r="J35"/>
      <c r="K35"/>
    </row>
    <row r="36" spans="1:11" ht="15" x14ac:dyDescent="0.25">
      <c r="A36"/>
      <c r="B36"/>
      <c r="C36"/>
      <c r="D36"/>
      <c r="E36"/>
      <c r="F36"/>
      <c r="G36"/>
      <c r="H36"/>
      <c r="I36"/>
      <c r="J36"/>
      <c r="K36"/>
    </row>
    <row r="37" spans="1:11" ht="15" x14ac:dyDescent="0.25">
      <c r="A37"/>
      <c r="B37"/>
      <c r="C37"/>
      <c r="D37"/>
      <c r="E37"/>
      <c r="F37"/>
      <c r="G37"/>
      <c r="H37"/>
      <c r="I37"/>
      <c r="J37"/>
      <c r="K37"/>
    </row>
    <row r="38" spans="1:11" ht="15" x14ac:dyDescent="0.25">
      <c r="A38"/>
      <c r="B38"/>
      <c r="C38"/>
      <c r="D38"/>
      <c r="E38"/>
      <c r="F38"/>
      <c r="G38"/>
      <c r="H38"/>
      <c r="I38"/>
      <c r="J38"/>
      <c r="K38"/>
    </row>
    <row r="39" spans="1:11" ht="15" x14ac:dyDescent="0.25">
      <c r="A39"/>
      <c r="B39"/>
      <c r="C39"/>
      <c r="D39"/>
      <c r="E39"/>
      <c r="F39"/>
      <c r="G39"/>
      <c r="H39"/>
      <c r="I39"/>
      <c r="J39"/>
      <c r="K39"/>
    </row>
    <row r="40" spans="1:11" ht="15" x14ac:dyDescent="0.25">
      <c r="A40"/>
      <c r="B40"/>
      <c r="C40"/>
      <c r="D40"/>
      <c r="E40"/>
      <c r="F40"/>
      <c r="G40"/>
      <c r="H40"/>
      <c r="I40"/>
      <c r="J40"/>
      <c r="K40"/>
    </row>
    <row r="41" spans="1:11" ht="15" x14ac:dyDescent="0.25">
      <c r="A41"/>
      <c r="B41"/>
      <c r="C41"/>
      <c r="D41"/>
      <c r="E41"/>
      <c r="F41"/>
      <c r="G41"/>
      <c r="H41"/>
      <c r="I41"/>
      <c r="J41"/>
      <c r="K41"/>
    </row>
    <row r="42" spans="1:11" ht="15" x14ac:dyDescent="0.25">
      <c r="A42"/>
      <c r="B42"/>
      <c r="C42"/>
      <c r="D42"/>
      <c r="E42"/>
      <c r="F42"/>
      <c r="G42"/>
      <c r="H42"/>
      <c r="I42"/>
      <c r="J42"/>
      <c r="K42"/>
    </row>
    <row r="43" spans="1:11" ht="15" x14ac:dyDescent="0.25">
      <c r="A43"/>
      <c r="B43"/>
      <c r="C43"/>
      <c r="D43"/>
      <c r="E43"/>
      <c r="F43"/>
      <c r="G43"/>
      <c r="H43"/>
      <c r="I43"/>
      <c r="J43"/>
      <c r="K43"/>
    </row>
    <row r="44" spans="1:11" ht="15" x14ac:dyDescent="0.25">
      <c r="A44"/>
      <c r="B44"/>
      <c r="C44"/>
      <c r="D44"/>
      <c r="E44"/>
      <c r="F44"/>
      <c r="G44"/>
      <c r="H44"/>
      <c r="I44"/>
      <c r="J44"/>
      <c r="K44"/>
    </row>
    <row r="45" spans="1:11" ht="15" x14ac:dyDescent="0.25">
      <c r="A45"/>
      <c r="B45"/>
      <c r="C45"/>
      <c r="D45"/>
      <c r="E45"/>
      <c r="F45"/>
      <c r="G45"/>
      <c r="H45"/>
      <c r="I45"/>
      <c r="J45"/>
      <c r="K45"/>
    </row>
    <row r="46" spans="1:11" ht="15" x14ac:dyDescent="0.25">
      <c r="A46"/>
      <c r="B46"/>
      <c r="C46"/>
      <c r="D46"/>
      <c r="E46"/>
      <c r="F46"/>
      <c r="G46"/>
      <c r="H46"/>
      <c r="I46"/>
      <c r="J46"/>
      <c r="K46"/>
    </row>
    <row r="47" spans="1:11" ht="15" x14ac:dyDescent="0.25">
      <c r="A47"/>
      <c r="B47"/>
      <c r="C47"/>
      <c r="D47"/>
      <c r="E47"/>
      <c r="F47"/>
      <c r="G47"/>
      <c r="H47"/>
      <c r="I47"/>
      <c r="J47"/>
      <c r="K47"/>
    </row>
    <row r="48" spans="1:11" ht="15" x14ac:dyDescent="0.25">
      <c r="A48"/>
      <c r="B48"/>
      <c r="C48"/>
      <c r="D48"/>
      <c r="E48"/>
      <c r="F48"/>
      <c r="G48"/>
      <c r="H48"/>
      <c r="I48"/>
      <c r="J48"/>
      <c r="K48"/>
    </row>
    <row r="49" spans="1:11" ht="15" x14ac:dyDescent="0.25">
      <c r="A49"/>
      <c r="B49"/>
      <c r="C49"/>
      <c r="D49"/>
      <c r="E49"/>
      <c r="F49"/>
      <c r="G49"/>
      <c r="H49"/>
      <c r="I49"/>
      <c r="J49"/>
      <c r="K49"/>
    </row>
    <row r="50" spans="1:11" ht="15" x14ac:dyDescent="0.25">
      <c r="A50"/>
      <c r="B50"/>
      <c r="C50"/>
      <c r="D50"/>
      <c r="E50"/>
      <c r="F50"/>
      <c r="G50"/>
      <c r="H50"/>
      <c r="I50"/>
      <c r="J50"/>
      <c r="K50"/>
    </row>
    <row r="51" spans="1:11" ht="15" x14ac:dyDescent="0.25">
      <c r="A51"/>
      <c r="B51"/>
      <c r="C51"/>
      <c r="D51"/>
      <c r="E51"/>
      <c r="F51"/>
      <c r="G51"/>
      <c r="H51"/>
      <c r="I51"/>
      <c r="J51"/>
      <c r="K51"/>
    </row>
    <row r="52" spans="1:11" ht="15" x14ac:dyDescent="0.25">
      <c r="A52"/>
      <c r="B52"/>
      <c r="C52"/>
      <c r="D52"/>
      <c r="E52"/>
      <c r="F52"/>
      <c r="G52"/>
      <c r="H52"/>
      <c r="I52"/>
      <c r="J52"/>
      <c r="K52"/>
    </row>
    <row r="53" spans="1:11" ht="15" x14ac:dyDescent="0.25">
      <c r="A53"/>
      <c r="B53"/>
      <c r="C53"/>
      <c r="D53"/>
      <c r="E53"/>
      <c r="F53"/>
      <c r="G53"/>
      <c r="H53"/>
      <c r="I53"/>
      <c r="J53"/>
      <c r="K53"/>
    </row>
    <row r="54" spans="1:11" ht="15" x14ac:dyDescent="0.25">
      <c r="A54"/>
      <c r="B54"/>
      <c r="C54"/>
      <c r="D54"/>
      <c r="E54"/>
      <c r="F54"/>
      <c r="G54"/>
      <c r="H54"/>
      <c r="I54"/>
      <c r="J54"/>
      <c r="K54"/>
    </row>
    <row r="55" spans="1:11" ht="15" x14ac:dyDescent="0.25">
      <c r="A55"/>
      <c r="B55"/>
      <c r="C55"/>
      <c r="D55"/>
      <c r="E55"/>
      <c r="F55"/>
      <c r="G55"/>
      <c r="H55"/>
      <c r="I55"/>
      <c r="J55"/>
      <c r="K55"/>
    </row>
    <row r="56" spans="1:11" ht="15" x14ac:dyDescent="0.25">
      <c r="A56"/>
      <c r="B56"/>
      <c r="C56"/>
      <c r="D56"/>
      <c r="E56"/>
      <c r="F56"/>
      <c r="G56"/>
      <c r="H56"/>
      <c r="I56"/>
      <c r="J56"/>
      <c r="K56"/>
    </row>
    <row r="57" spans="1:11" ht="15" x14ac:dyDescent="0.25">
      <c r="A57"/>
      <c r="B57"/>
      <c r="C57"/>
      <c r="D57"/>
      <c r="E57"/>
      <c r="F57"/>
      <c r="G57"/>
      <c r="H57"/>
      <c r="I57"/>
      <c r="J57"/>
      <c r="K57"/>
    </row>
    <row r="58" spans="1:11" ht="15" x14ac:dyDescent="0.25">
      <c r="A58"/>
      <c r="B58"/>
      <c r="C58"/>
      <c r="D58"/>
      <c r="E58"/>
      <c r="F58"/>
      <c r="G58"/>
      <c r="H58"/>
      <c r="I58"/>
      <c r="J58"/>
      <c r="K58"/>
    </row>
    <row r="59" spans="1:11" ht="15" x14ac:dyDescent="0.25">
      <c r="A59"/>
      <c r="B59"/>
      <c r="C59"/>
      <c r="D59"/>
      <c r="E59"/>
      <c r="F59"/>
      <c r="G59"/>
      <c r="H59"/>
      <c r="I59"/>
      <c r="J59"/>
      <c r="K59"/>
    </row>
    <row r="60" spans="1:11" ht="15" x14ac:dyDescent="0.25">
      <c r="A60"/>
      <c r="B60"/>
      <c r="C60"/>
      <c r="D60"/>
      <c r="E60"/>
      <c r="F60"/>
      <c r="G60"/>
      <c r="H60"/>
      <c r="I60"/>
      <c r="J60"/>
      <c r="K60"/>
    </row>
    <row r="61" spans="1:11" ht="15" x14ac:dyDescent="0.25">
      <c r="A61"/>
      <c r="B61"/>
      <c r="C61"/>
      <c r="D61"/>
      <c r="E61"/>
      <c r="F61"/>
      <c r="G61"/>
      <c r="H61"/>
      <c r="I61"/>
      <c r="J61"/>
      <c r="K61"/>
    </row>
    <row r="62" spans="1:11" ht="15" x14ac:dyDescent="0.25">
      <c r="A62"/>
      <c r="B62"/>
      <c r="C62"/>
      <c r="D62"/>
      <c r="E62"/>
      <c r="F62"/>
      <c r="G62"/>
      <c r="H62"/>
      <c r="I62"/>
      <c r="J62"/>
      <c r="K62"/>
    </row>
    <row r="63" spans="1:11" ht="15" x14ac:dyDescent="0.25">
      <c r="A63"/>
      <c r="B63"/>
      <c r="C63"/>
      <c r="D63"/>
      <c r="E63"/>
      <c r="F63"/>
      <c r="G63"/>
      <c r="H63"/>
      <c r="I63"/>
      <c r="J63"/>
      <c r="K63"/>
    </row>
    <row r="64" spans="1:11" ht="15" x14ac:dyDescent="0.25">
      <c r="A64"/>
      <c r="B64"/>
      <c r="C64"/>
      <c r="D64"/>
      <c r="E64"/>
      <c r="F64"/>
      <c r="G64"/>
      <c r="H64"/>
      <c r="I64"/>
      <c r="J64"/>
      <c r="K64"/>
    </row>
    <row r="65" spans="1:11" ht="15" x14ac:dyDescent="0.25">
      <c r="A65"/>
      <c r="B65"/>
      <c r="C65"/>
      <c r="D65"/>
      <c r="E65"/>
      <c r="F65"/>
      <c r="G65"/>
      <c r="H65"/>
      <c r="I65"/>
      <c r="J65"/>
      <c r="K65"/>
    </row>
    <row r="66" spans="1:11" ht="15" x14ac:dyDescent="0.25">
      <c r="A66"/>
      <c r="B66"/>
      <c r="C66"/>
      <c r="D66"/>
      <c r="E66"/>
      <c r="F66"/>
      <c r="G66"/>
      <c r="H66"/>
      <c r="I66"/>
      <c r="J66"/>
      <c r="K66"/>
    </row>
  </sheetData>
  <mergeCells count="6">
    <mergeCell ref="A23:H23"/>
    <mergeCell ref="A10:H10"/>
    <mergeCell ref="A21:D21"/>
    <mergeCell ref="A1:K2"/>
    <mergeCell ref="J10:K10"/>
    <mergeCell ref="E5:H8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0B74-F0D1-4B4C-BC84-B187C77C40AD}">
  <sheetPr codeName="Hoja18">
    <tabColor rgb="FFD9E3F0"/>
  </sheetPr>
  <dimension ref="A1:J85"/>
  <sheetViews>
    <sheetView showGridLines="0" zoomScaleNormal="100" workbookViewId="0">
      <selection sqref="A1:J2"/>
    </sheetView>
  </sheetViews>
  <sheetFormatPr defaultColWidth="11.42578125" defaultRowHeight="12" x14ac:dyDescent="0.2"/>
  <cols>
    <col min="1" max="10" width="15.7109375" style="1" customWidth="1"/>
    <col min="11" max="16384" width="11.42578125" style="1"/>
  </cols>
  <sheetData>
    <row r="1" spans="1:10" ht="30" customHeight="1" x14ac:dyDescent="0.2">
      <c r="A1" s="82" t="s">
        <v>327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30" customHeight="1" x14ac:dyDescent="0.2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0" ht="8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ht="21.95" customHeight="1" x14ac:dyDescent="0.25">
      <c r="A4" s="62" t="s">
        <v>205</v>
      </c>
      <c r="B4" s="79">
        <v>46149</v>
      </c>
      <c r="C4" s="23"/>
      <c r="D4" s="23"/>
      <c r="E4" s="92" t="s">
        <v>280</v>
      </c>
      <c r="F4" s="92"/>
      <c r="G4" s="92"/>
      <c r="H4" s="92"/>
      <c r="I4" s="92"/>
      <c r="J4" s="92"/>
    </row>
    <row r="5" spans="1:10" ht="21.95" customHeight="1" x14ac:dyDescent="0.25">
      <c r="A5" s="62" t="s">
        <v>208</v>
      </c>
      <c r="B5" s="67" t="s">
        <v>25</v>
      </c>
      <c r="C5" s="23"/>
      <c r="D5" s="23"/>
      <c r="E5" s="92"/>
      <c r="F5" s="92"/>
      <c r="G5" s="92"/>
      <c r="H5" s="92"/>
      <c r="I5" s="92"/>
      <c r="J5" s="92"/>
    </row>
    <row r="6" spans="1:10" ht="9.9499999999999993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</row>
    <row r="7" spans="1:10" ht="18" customHeight="1" x14ac:dyDescent="0.2">
      <c r="A7" s="94" t="s">
        <v>373</v>
      </c>
      <c r="B7" s="94"/>
      <c r="C7" s="94" t="s">
        <v>374</v>
      </c>
      <c r="D7" s="94"/>
      <c r="E7" s="94" t="s">
        <v>375</v>
      </c>
      <c r="F7" s="94"/>
      <c r="G7" s="94" t="s">
        <v>376</v>
      </c>
      <c r="H7" s="94"/>
      <c r="I7" s="94" t="s">
        <v>439</v>
      </c>
      <c r="J7" s="94"/>
    </row>
    <row r="8" spans="1:10" ht="24" customHeight="1" x14ac:dyDescent="0.2">
      <c r="A8" s="94"/>
      <c r="B8" s="94"/>
      <c r="C8" s="94"/>
      <c r="D8" s="94"/>
      <c r="E8" s="94"/>
      <c r="F8" s="94"/>
      <c r="G8" s="94"/>
      <c r="H8" s="94"/>
      <c r="I8" s="94"/>
      <c r="J8" s="94"/>
    </row>
    <row r="9" spans="1:10" ht="18" customHeight="1" x14ac:dyDescent="0.2">
      <c r="A9" s="94"/>
      <c r="B9" s="94"/>
      <c r="C9" s="94"/>
      <c r="D9" s="94"/>
      <c r="E9" s="94"/>
      <c r="F9" s="94"/>
      <c r="G9" s="94"/>
      <c r="H9" s="94"/>
      <c r="I9" s="94"/>
      <c r="J9" s="94"/>
    </row>
    <row r="10" spans="1:10" ht="14.1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spans="1:10" ht="21.95" customHeight="1" x14ac:dyDescent="0.25">
      <c r="A11" s="85" t="s">
        <v>219</v>
      </c>
      <c r="B11" s="86"/>
      <c r="C11" s="86"/>
      <c r="D11" s="86"/>
      <c r="E11" s="87"/>
      <c r="F11" s="23"/>
      <c r="G11" s="23"/>
      <c r="H11" s="23"/>
      <c r="I11" s="23"/>
      <c r="J11" s="23"/>
    </row>
    <row r="12" spans="1:10" ht="33.950000000000003" customHeight="1" x14ac:dyDescent="0.25">
      <c r="A12" s="8" t="s">
        <v>214</v>
      </c>
      <c r="B12" s="8" t="s">
        <v>215</v>
      </c>
      <c r="C12" s="8" t="s">
        <v>276</v>
      </c>
      <c r="D12" s="8" t="s">
        <v>216</v>
      </c>
      <c r="E12" s="8" t="s">
        <v>203</v>
      </c>
      <c r="F12" s="23"/>
      <c r="G12" s="23"/>
      <c r="H12" s="23"/>
      <c r="I12" s="23"/>
      <c r="J12" s="23"/>
    </row>
    <row r="13" spans="1:10" ht="15" customHeight="1" x14ac:dyDescent="0.25">
      <c r="A13" s="9" t="s">
        <v>25</v>
      </c>
      <c r="B13" s="10">
        <v>-70.599999999999994</v>
      </c>
      <c r="C13" s="11">
        <v>1</v>
      </c>
      <c r="D13" s="10">
        <v>-70.599999999999994</v>
      </c>
      <c r="E13" s="12">
        <v>-4.2161751897281587E-6</v>
      </c>
      <c r="F13" s="23"/>
      <c r="G13" s="23"/>
      <c r="H13" s="23"/>
      <c r="I13" s="23"/>
      <c r="J13" s="23"/>
    </row>
    <row r="14" spans="1:10" ht="15" customHeight="1" x14ac:dyDescent="0.25">
      <c r="A14" s="32" t="s">
        <v>19</v>
      </c>
      <c r="B14" s="33">
        <v>1467.78</v>
      </c>
      <c r="C14" s="35">
        <v>1429.69</v>
      </c>
      <c r="D14" s="33">
        <v>2098470.3881999999</v>
      </c>
      <c r="E14" s="34">
        <v>0.12531896299019912</v>
      </c>
      <c r="F14" s="23"/>
      <c r="G14" s="23"/>
      <c r="H14" s="23"/>
      <c r="I14" s="23"/>
      <c r="J14" s="23"/>
    </row>
    <row r="15" spans="1:10" ht="15" customHeight="1" x14ac:dyDescent="0.25">
      <c r="A15" s="19" t="s">
        <v>206</v>
      </c>
      <c r="B15" s="20">
        <v>0.14000000000000001</v>
      </c>
      <c r="C15" s="21">
        <v>1478.19</v>
      </c>
      <c r="D15" s="20">
        <v>206.94660000000002</v>
      </c>
      <c r="E15" s="22">
        <v>1.235868442660903E-5</v>
      </c>
      <c r="F15" s="23"/>
      <c r="G15" s="23"/>
      <c r="H15" s="23"/>
      <c r="I15" s="23"/>
      <c r="J15" s="23"/>
    </row>
    <row r="16" spans="1:10" ht="15" customHeight="1" x14ac:dyDescent="0.25">
      <c r="A16" s="24" t="s">
        <v>278</v>
      </c>
      <c r="B16" s="25"/>
      <c r="C16" s="26"/>
      <c r="D16" s="25">
        <v>2098606.7348000002</v>
      </c>
      <c r="E16" s="80">
        <v>0.12532710549943601</v>
      </c>
      <c r="F16" s="23"/>
      <c r="G16" s="23"/>
      <c r="H16" s="23"/>
      <c r="I16" s="23"/>
      <c r="J16" s="23"/>
    </row>
    <row r="17" spans="1:10" ht="1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0" ht="21.95" customHeight="1" x14ac:dyDescent="0.25">
      <c r="A18" s="85" t="s">
        <v>273</v>
      </c>
      <c r="B18" s="86"/>
      <c r="C18" s="86"/>
      <c r="D18" s="86"/>
      <c r="E18" s="87"/>
      <c r="F18" s="23"/>
      <c r="G18" s="23"/>
      <c r="H18" s="23"/>
      <c r="I18" s="23"/>
      <c r="J18" s="23"/>
    </row>
    <row r="19" spans="1:10" ht="33.950000000000003" customHeight="1" x14ac:dyDescent="0.25">
      <c r="A19" s="8" t="s">
        <v>274</v>
      </c>
      <c r="B19" s="8" t="s">
        <v>275</v>
      </c>
      <c r="C19" s="8" t="s">
        <v>276</v>
      </c>
      <c r="D19" s="8" t="s">
        <v>216</v>
      </c>
      <c r="E19" s="8" t="s">
        <v>203</v>
      </c>
      <c r="F19" s="23"/>
      <c r="G19" s="23"/>
      <c r="H19" s="23"/>
      <c r="I19" s="23"/>
      <c r="J19" s="23"/>
    </row>
    <row r="20" spans="1:10" ht="15" customHeight="1" x14ac:dyDescent="0.25">
      <c r="A20" s="9" t="s">
        <v>25</v>
      </c>
      <c r="B20" s="10">
        <v>66643</v>
      </c>
      <c r="C20" s="11">
        <v>1</v>
      </c>
      <c r="D20" s="10">
        <v>66643</v>
      </c>
      <c r="E20" s="12">
        <v>3.9798663338392872E-3</v>
      </c>
      <c r="F20" s="23"/>
      <c r="G20" s="23"/>
      <c r="H20" s="23"/>
      <c r="I20" s="23"/>
      <c r="J20" s="23"/>
    </row>
    <row r="21" spans="1:10" ht="15" customHeight="1" x14ac:dyDescent="0.25">
      <c r="A21" s="32" t="s">
        <v>81</v>
      </c>
      <c r="B21" s="33">
        <v>3764.3020514936802</v>
      </c>
      <c r="C21" s="35">
        <v>1429.69</v>
      </c>
      <c r="D21" s="33">
        <v>5381785</v>
      </c>
      <c r="E21" s="34">
        <v>0.32139586959562549</v>
      </c>
      <c r="F21" s="23"/>
      <c r="G21" s="23"/>
      <c r="H21" s="23"/>
      <c r="I21" s="23"/>
      <c r="J21" s="23"/>
    </row>
    <row r="22" spans="1:10" ht="15" customHeight="1" x14ac:dyDescent="0.25">
      <c r="A22" s="19" t="s">
        <v>85</v>
      </c>
      <c r="B22" s="20">
        <v>6222.4747833499077</v>
      </c>
      <c r="C22" s="21">
        <v>1478.19</v>
      </c>
      <c r="D22" s="20">
        <v>9198000</v>
      </c>
      <c r="E22" s="22">
        <v>0.54929715857109918</v>
      </c>
      <c r="F22" s="23"/>
      <c r="G22" s="23"/>
      <c r="H22" s="23"/>
      <c r="I22" s="23"/>
      <c r="J22" s="23"/>
    </row>
    <row r="23" spans="1:10" ht="15" customHeight="1" x14ac:dyDescent="0.25">
      <c r="A23" s="24" t="s">
        <v>277</v>
      </c>
      <c r="B23" s="25"/>
      <c r="C23" s="26"/>
      <c r="D23" s="25">
        <v>14646428</v>
      </c>
      <c r="E23" s="80">
        <v>0.87467289450056396</v>
      </c>
      <c r="F23" s="23"/>
      <c r="G23" s="23"/>
      <c r="H23" s="23"/>
      <c r="I23" s="23"/>
      <c r="J23" s="23"/>
    </row>
    <row r="24" spans="1:10" ht="1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spans="1:10" ht="21.95" customHeight="1" x14ac:dyDescent="0.25">
      <c r="A25" s="23"/>
      <c r="B25" s="64"/>
      <c r="C25" s="65" t="s">
        <v>220</v>
      </c>
      <c r="D25" s="66"/>
      <c r="E25" s="23"/>
      <c r="F25" s="23"/>
      <c r="G25" s="23"/>
      <c r="H25" s="23"/>
      <c r="I25" s="23"/>
      <c r="J25" s="23"/>
    </row>
    <row r="26" spans="1:10" ht="33.950000000000003" customHeight="1" x14ac:dyDescent="0.25">
      <c r="A26" s="23"/>
      <c r="B26" s="8" t="s">
        <v>3</v>
      </c>
      <c r="C26" s="8" t="s">
        <v>209</v>
      </c>
      <c r="D26" s="8" t="s">
        <v>203</v>
      </c>
      <c r="E26" s="23"/>
      <c r="F26" s="23"/>
      <c r="G26" s="23"/>
      <c r="H26" s="23"/>
      <c r="I26" s="23"/>
      <c r="J26" s="23"/>
    </row>
    <row r="27" spans="1:10" ht="15" customHeight="1" x14ac:dyDescent="0.25">
      <c r="A27" s="23"/>
      <c r="B27" s="9" t="s">
        <v>53</v>
      </c>
      <c r="C27" s="10">
        <v>90858</v>
      </c>
      <c r="D27" s="12">
        <v>5.4259666485597883E-3</v>
      </c>
      <c r="E27" s="23"/>
      <c r="F27" s="23"/>
      <c r="G27" s="23"/>
      <c r="H27" s="23"/>
      <c r="I27" s="23"/>
      <c r="J27" s="23"/>
    </row>
    <row r="28" spans="1:10" ht="15" customHeight="1" x14ac:dyDescent="0.25">
      <c r="A28" s="23"/>
      <c r="B28" s="32" t="s">
        <v>34</v>
      </c>
      <c r="C28" s="33">
        <v>2498190</v>
      </c>
      <c r="D28" s="34">
        <v>0.14918989656128881</v>
      </c>
      <c r="E28" s="23"/>
      <c r="F28" s="23"/>
      <c r="G28" s="23"/>
      <c r="H28" s="23"/>
      <c r="I28" s="23"/>
      <c r="J28" s="23"/>
    </row>
    <row r="29" spans="1:10" ht="15" customHeight="1" x14ac:dyDescent="0.25">
      <c r="A29" s="23"/>
      <c r="B29" s="9" t="s">
        <v>39</v>
      </c>
      <c r="C29" s="10">
        <v>12057380</v>
      </c>
      <c r="D29" s="12">
        <v>0.72005703129071541</v>
      </c>
      <c r="E29" s="23"/>
      <c r="F29" s="23"/>
      <c r="G29" s="23"/>
      <c r="H29" s="23"/>
      <c r="I29" s="23"/>
      <c r="J29" s="23"/>
    </row>
    <row r="30" spans="1:10" ht="15" customHeight="1" x14ac:dyDescent="0.25">
      <c r="A30" s="23"/>
      <c r="B30" s="75" t="s">
        <v>210</v>
      </c>
      <c r="C30" s="76">
        <v>2098606.7348000002</v>
      </c>
      <c r="D30" s="77">
        <v>0.12532710549943601</v>
      </c>
      <c r="E30" s="23"/>
      <c r="F30" s="23"/>
      <c r="G30" s="23"/>
      <c r="H30" s="23"/>
      <c r="I30" s="23"/>
      <c r="J30" s="23"/>
    </row>
    <row r="31" spans="1:10" ht="15" customHeight="1" x14ac:dyDescent="0.25">
      <c r="A31" s="23"/>
      <c r="B31" s="24" t="s">
        <v>279</v>
      </c>
      <c r="C31" s="25">
        <v>16745034.7348</v>
      </c>
      <c r="D31" s="80">
        <v>1</v>
      </c>
      <c r="E31" s="23"/>
      <c r="F31" s="23"/>
      <c r="G31" s="23"/>
      <c r="H31" s="23"/>
      <c r="I31" s="23"/>
      <c r="J31" s="23"/>
    </row>
    <row r="32" spans="1:10" ht="1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 ht="1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 ht="21.95" customHeight="1" x14ac:dyDescent="0.2">
      <c r="A34" s="93" t="s">
        <v>16</v>
      </c>
      <c r="B34" s="93"/>
      <c r="C34" s="93"/>
      <c r="D34" s="93"/>
      <c r="E34" s="93"/>
      <c r="F34" s="93"/>
      <c r="G34" s="93"/>
      <c r="H34" s="93"/>
      <c r="I34" s="93"/>
      <c r="J34" s="93"/>
    </row>
    <row r="35" spans="1:10" ht="33.950000000000003" customHeight="1" x14ac:dyDescent="0.2">
      <c r="A35" s="18" t="s">
        <v>2</v>
      </c>
      <c r="B35" s="18" t="s">
        <v>3</v>
      </c>
      <c r="C35" s="18" t="s">
        <v>8</v>
      </c>
      <c r="D35" s="18" t="s">
        <v>211</v>
      </c>
      <c r="E35" s="18" t="s">
        <v>203</v>
      </c>
      <c r="F35" s="18" t="s">
        <v>212</v>
      </c>
      <c r="G35" s="18" t="s">
        <v>213</v>
      </c>
      <c r="H35" s="18" t="s">
        <v>217</v>
      </c>
      <c r="I35" s="18" t="s">
        <v>207</v>
      </c>
      <c r="J35" s="18" t="s">
        <v>218</v>
      </c>
    </row>
    <row r="36" spans="1:10" ht="15" customHeight="1" x14ac:dyDescent="0.2">
      <c r="A36" s="9" t="s">
        <v>60</v>
      </c>
      <c r="B36" s="9" t="s">
        <v>53</v>
      </c>
      <c r="C36" s="10">
        <v>2</v>
      </c>
      <c r="D36" s="10">
        <v>12680</v>
      </c>
      <c r="E36" s="12">
        <v>7.5723939668205465E-4</v>
      </c>
      <c r="F36" s="13">
        <v>-80</v>
      </c>
      <c r="G36" s="14">
        <v>-6.269592476489028E-3</v>
      </c>
      <c r="H36" s="13">
        <v>-872.82999999999993</v>
      </c>
      <c r="I36" s="14">
        <v>-6.4402047395267253E-2</v>
      </c>
      <c r="J36" s="10">
        <v>13552.83</v>
      </c>
    </row>
    <row r="37" spans="1:10" ht="15" customHeight="1" x14ac:dyDescent="0.2">
      <c r="A37" s="32" t="s">
        <v>55</v>
      </c>
      <c r="B37" s="32" t="s">
        <v>53</v>
      </c>
      <c r="C37" s="33">
        <v>3</v>
      </c>
      <c r="D37" s="33">
        <v>14603</v>
      </c>
      <c r="E37" s="34">
        <v>8.7207940928612333E-4</v>
      </c>
      <c r="F37" s="36">
        <v>-172</v>
      </c>
      <c r="G37" s="37">
        <v>-1.1641285956006768E-2</v>
      </c>
      <c r="H37" s="52">
        <v>2429.6200000000008</v>
      </c>
      <c r="I37" s="53">
        <v>0.19958466752865686</v>
      </c>
      <c r="J37" s="33">
        <v>12173.38</v>
      </c>
    </row>
    <row r="38" spans="1:10" ht="15" customHeight="1" x14ac:dyDescent="0.2">
      <c r="A38" s="9" t="s">
        <v>52</v>
      </c>
      <c r="B38" s="9" t="s">
        <v>53</v>
      </c>
      <c r="C38" s="10">
        <v>1</v>
      </c>
      <c r="D38" s="10">
        <v>63575</v>
      </c>
      <c r="E38" s="12">
        <v>3.7966478425916104E-3</v>
      </c>
      <c r="F38" s="13">
        <v>-625</v>
      </c>
      <c r="G38" s="14">
        <v>-9.7352024922118374E-3</v>
      </c>
      <c r="H38" s="50">
        <v>17537.993600000002</v>
      </c>
      <c r="I38" s="51">
        <v>0.38095425770342883</v>
      </c>
      <c r="J38" s="10">
        <v>46037.006399999998</v>
      </c>
    </row>
    <row r="39" spans="1:10" ht="15" customHeight="1" x14ac:dyDescent="0.2">
      <c r="A39" s="32" t="s">
        <v>50</v>
      </c>
      <c r="B39" s="32" t="s">
        <v>34</v>
      </c>
      <c r="C39" s="33">
        <v>3</v>
      </c>
      <c r="D39" s="33">
        <v>93300</v>
      </c>
      <c r="E39" s="34">
        <v>5.5718009235359378E-3</v>
      </c>
      <c r="F39" s="52">
        <v>1080</v>
      </c>
      <c r="G39" s="53">
        <v>1.1711125569290826E-2</v>
      </c>
      <c r="H39" s="52">
        <v>46552.452999999994</v>
      </c>
      <c r="I39" s="53">
        <v>0.99582664733189075</v>
      </c>
      <c r="J39" s="33">
        <v>46747.547000000006</v>
      </c>
    </row>
    <row r="40" spans="1:10" ht="15" customHeight="1" x14ac:dyDescent="0.2">
      <c r="A40" s="9" t="s">
        <v>33</v>
      </c>
      <c r="B40" s="9" t="s">
        <v>34</v>
      </c>
      <c r="C40" s="10">
        <v>33</v>
      </c>
      <c r="D40" s="10">
        <v>761970</v>
      </c>
      <c r="E40" s="12">
        <v>4.5504235259449931E-2</v>
      </c>
      <c r="F40" s="50">
        <v>10890</v>
      </c>
      <c r="G40" s="51">
        <v>1.4499121265377855E-2</v>
      </c>
      <c r="H40" s="50">
        <v>7863.8283999999985</v>
      </c>
      <c r="I40" s="51">
        <v>1.0428012256304943E-2</v>
      </c>
      <c r="J40" s="10">
        <v>754106.1716</v>
      </c>
    </row>
    <row r="41" spans="1:10" ht="15" customHeight="1" x14ac:dyDescent="0.2">
      <c r="A41" s="32" t="s">
        <v>36</v>
      </c>
      <c r="B41" s="32" t="s">
        <v>34</v>
      </c>
      <c r="C41" s="33">
        <v>42</v>
      </c>
      <c r="D41" s="33">
        <v>1603560</v>
      </c>
      <c r="E41" s="34">
        <v>9.5763312850431825E-2</v>
      </c>
      <c r="F41" s="52">
        <v>13440</v>
      </c>
      <c r="G41" s="53">
        <v>8.4521922873745381E-3</v>
      </c>
      <c r="H41" s="52">
        <v>78436.414300000062</v>
      </c>
      <c r="I41" s="53">
        <v>5.1429546454754602E-2</v>
      </c>
      <c r="J41" s="33">
        <v>1525123.5856999999</v>
      </c>
    </row>
    <row r="42" spans="1:10" ht="15" customHeight="1" x14ac:dyDescent="0.2">
      <c r="A42" s="9" t="s">
        <v>44</v>
      </c>
      <c r="B42" s="9" t="s">
        <v>34</v>
      </c>
      <c r="C42" s="10">
        <v>3</v>
      </c>
      <c r="D42" s="10">
        <v>39360</v>
      </c>
      <c r="E42" s="12">
        <v>2.3505475278711094E-3</v>
      </c>
      <c r="F42" s="50">
        <v>870</v>
      </c>
      <c r="G42" s="51">
        <v>2.260327357755261E-2</v>
      </c>
      <c r="H42" s="50">
        <v>9209.4876000000004</v>
      </c>
      <c r="I42" s="51">
        <v>0.30545045065303766</v>
      </c>
      <c r="J42" s="10">
        <v>30150.5124</v>
      </c>
    </row>
    <row r="43" spans="1:10" ht="15" customHeight="1" x14ac:dyDescent="0.2">
      <c r="A43" s="32" t="s">
        <v>227</v>
      </c>
      <c r="B43" s="32" t="s">
        <v>39</v>
      </c>
      <c r="C43" s="33">
        <v>2000</v>
      </c>
      <c r="D43" s="33">
        <v>2859380</v>
      </c>
      <c r="E43" s="34">
        <v>0.17075987271961618</v>
      </c>
      <c r="F43" s="52">
        <v>2859380</v>
      </c>
      <c r="G43" s="34">
        <v>0</v>
      </c>
      <c r="H43" s="36">
        <v>-14296.899999999907</v>
      </c>
      <c r="I43" s="37">
        <v>-4.9751243781094205E-3</v>
      </c>
      <c r="J43" s="33">
        <v>2873676.9</v>
      </c>
    </row>
    <row r="44" spans="1:10" ht="15" customHeight="1" x14ac:dyDescent="0.2">
      <c r="A44" s="9" t="s">
        <v>38</v>
      </c>
      <c r="B44" s="9" t="s">
        <v>39</v>
      </c>
      <c r="C44" s="10">
        <v>6000</v>
      </c>
      <c r="D44" s="10">
        <v>9198000</v>
      </c>
      <c r="E44" s="12">
        <v>0.54929715857109918</v>
      </c>
      <c r="F44" s="13">
        <v>-42000</v>
      </c>
      <c r="G44" s="14">
        <v>-4.5454545454545452E-3</v>
      </c>
      <c r="H44" s="50">
        <v>233922.59999999963</v>
      </c>
      <c r="I44" s="51">
        <v>2.6095557809440558E-2</v>
      </c>
      <c r="J44" s="10">
        <v>8964077.4000000004</v>
      </c>
    </row>
    <row r="45" spans="1:10" ht="15" customHeight="1" x14ac:dyDescent="0.25">
      <c r="A45"/>
      <c r="B45"/>
      <c r="C45"/>
      <c r="D45"/>
      <c r="E45"/>
      <c r="F45"/>
      <c r="G45"/>
      <c r="H45"/>
      <c r="I45"/>
      <c r="J45"/>
    </row>
    <row r="46" spans="1:10" ht="15" customHeight="1" x14ac:dyDescent="0.25">
      <c r="A46"/>
      <c r="B46"/>
      <c r="C46"/>
      <c r="D46"/>
      <c r="E46"/>
      <c r="F46"/>
      <c r="G46"/>
      <c r="H46"/>
      <c r="I46"/>
      <c r="J46"/>
    </row>
    <row r="47" spans="1:10" ht="15" customHeight="1" x14ac:dyDescent="0.25">
      <c r="A47"/>
      <c r="B47"/>
      <c r="C47"/>
      <c r="D47"/>
      <c r="E47"/>
      <c r="F47"/>
      <c r="G47"/>
      <c r="H47"/>
      <c r="I47"/>
      <c r="J47"/>
    </row>
    <row r="48" spans="1:10" ht="15" customHeight="1" x14ac:dyDescent="0.25">
      <c r="A48"/>
      <c r="B48"/>
      <c r="C48"/>
      <c r="D48"/>
      <c r="E48"/>
      <c r="F48"/>
      <c r="G48"/>
      <c r="H48"/>
      <c r="I48"/>
      <c r="J48"/>
    </row>
    <row r="49" spans="1:10" ht="15" customHeight="1" x14ac:dyDescent="0.25">
      <c r="A49"/>
      <c r="B49"/>
      <c r="C49"/>
      <c r="D49"/>
      <c r="E49"/>
      <c r="F49"/>
      <c r="G49"/>
      <c r="H49"/>
      <c r="I49"/>
      <c r="J49"/>
    </row>
    <row r="50" spans="1:10" ht="15" customHeight="1" x14ac:dyDescent="0.25">
      <c r="A50"/>
      <c r="B50"/>
      <c r="C50"/>
      <c r="D50"/>
      <c r="E50"/>
      <c r="F50"/>
      <c r="G50"/>
      <c r="H50"/>
      <c r="I50"/>
      <c r="J50"/>
    </row>
    <row r="51" spans="1:10" ht="15" x14ac:dyDescent="0.25">
      <c r="A51"/>
      <c r="B51"/>
      <c r="C51"/>
      <c r="D51"/>
      <c r="E51"/>
      <c r="F51"/>
      <c r="G51"/>
      <c r="H51"/>
      <c r="I51"/>
      <c r="J51"/>
    </row>
    <row r="52" spans="1:10" ht="15" x14ac:dyDescent="0.25">
      <c r="A52"/>
      <c r="B52"/>
      <c r="C52"/>
      <c r="D52"/>
      <c r="E52"/>
      <c r="F52"/>
      <c r="G52"/>
      <c r="H52"/>
      <c r="I52"/>
      <c r="J52"/>
    </row>
    <row r="53" spans="1:10" ht="15" x14ac:dyDescent="0.25">
      <c r="A53"/>
      <c r="B53"/>
      <c r="C53"/>
      <c r="D53"/>
      <c r="E53"/>
      <c r="F53"/>
      <c r="G53"/>
      <c r="H53"/>
      <c r="I53"/>
      <c r="J53"/>
    </row>
    <row r="54" spans="1:10" ht="15" x14ac:dyDescent="0.25">
      <c r="A54"/>
      <c r="B54"/>
      <c r="C54"/>
      <c r="D54"/>
      <c r="E54"/>
      <c r="F54"/>
      <c r="G54"/>
      <c r="H54"/>
      <c r="I54"/>
      <c r="J54"/>
    </row>
    <row r="55" spans="1:10" ht="15" x14ac:dyDescent="0.25">
      <c r="A55"/>
      <c r="B55"/>
      <c r="C55"/>
      <c r="D55"/>
      <c r="E55"/>
      <c r="F55"/>
      <c r="G55"/>
      <c r="H55"/>
      <c r="I55"/>
      <c r="J55"/>
    </row>
    <row r="56" spans="1:10" ht="15" x14ac:dyDescent="0.25">
      <c r="A56"/>
      <c r="B56"/>
      <c r="C56"/>
      <c r="D56"/>
      <c r="E56"/>
      <c r="F56"/>
      <c r="G56"/>
      <c r="H56"/>
      <c r="I56"/>
      <c r="J56"/>
    </row>
    <row r="57" spans="1:10" ht="15" x14ac:dyDescent="0.25">
      <c r="A57"/>
      <c r="B57"/>
      <c r="C57"/>
      <c r="D57"/>
      <c r="E57"/>
      <c r="F57"/>
      <c r="G57"/>
      <c r="H57"/>
      <c r="I57"/>
      <c r="J57"/>
    </row>
    <row r="58" spans="1:10" ht="15" x14ac:dyDescent="0.25">
      <c r="A58"/>
      <c r="B58"/>
      <c r="C58"/>
      <c r="D58"/>
      <c r="E58"/>
      <c r="F58"/>
      <c r="G58"/>
      <c r="H58"/>
      <c r="I58"/>
      <c r="J58"/>
    </row>
    <row r="59" spans="1:10" ht="15" x14ac:dyDescent="0.25">
      <c r="A59"/>
      <c r="B59"/>
      <c r="C59"/>
      <c r="D59"/>
      <c r="E59"/>
      <c r="F59"/>
      <c r="G59"/>
      <c r="H59"/>
      <c r="I59"/>
      <c r="J59"/>
    </row>
    <row r="60" spans="1:10" ht="15" x14ac:dyDescent="0.25">
      <c r="A60"/>
      <c r="B60"/>
      <c r="C60"/>
      <c r="D60"/>
      <c r="E60"/>
      <c r="F60"/>
      <c r="G60"/>
      <c r="H60"/>
      <c r="I60"/>
      <c r="J60"/>
    </row>
    <row r="61" spans="1:10" ht="15" x14ac:dyDescent="0.25">
      <c r="A61"/>
      <c r="B61"/>
      <c r="C61"/>
      <c r="D61"/>
      <c r="E61"/>
      <c r="F61"/>
      <c r="G61"/>
      <c r="H61"/>
      <c r="I61"/>
      <c r="J61"/>
    </row>
    <row r="62" spans="1:10" ht="15" x14ac:dyDescent="0.25">
      <c r="A62"/>
      <c r="B62"/>
      <c r="C62"/>
      <c r="D62"/>
      <c r="E62"/>
      <c r="F62"/>
      <c r="G62"/>
      <c r="H62"/>
      <c r="I62"/>
      <c r="J62"/>
    </row>
    <row r="63" spans="1:10" ht="15" x14ac:dyDescent="0.25">
      <c r="A63"/>
      <c r="B63"/>
      <c r="C63"/>
      <c r="D63"/>
      <c r="E63"/>
      <c r="F63"/>
      <c r="G63"/>
      <c r="H63"/>
      <c r="I63"/>
      <c r="J63"/>
    </row>
    <row r="64" spans="1:10" ht="15" x14ac:dyDescent="0.25">
      <c r="A64"/>
      <c r="B64"/>
      <c r="C64"/>
      <c r="D64"/>
      <c r="E64"/>
      <c r="F64"/>
      <c r="G64"/>
      <c r="H64"/>
      <c r="I64"/>
      <c r="J64"/>
    </row>
    <row r="65" spans="1:10" ht="15" x14ac:dyDescent="0.25">
      <c r="A65"/>
      <c r="B65"/>
      <c r="C65"/>
      <c r="D65"/>
      <c r="E65"/>
      <c r="F65"/>
      <c r="G65"/>
      <c r="H65"/>
      <c r="I65"/>
      <c r="J65"/>
    </row>
    <row r="66" spans="1:10" ht="15" x14ac:dyDescent="0.25">
      <c r="A66"/>
      <c r="B66"/>
      <c r="C66"/>
      <c r="D66"/>
      <c r="E66"/>
      <c r="F66"/>
      <c r="G66"/>
      <c r="H66"/>
      <c r="I66"/>
      <c r="J66"/>
    </row>
    <row r="67" spans="1:10" ht="15" x14ac:dyDescent="0.25">
      <c r="A67"/>
      <c r="B67"/>
      <c r="C67"/>
      <c r="D67"/>
      <c r="E67"/>
      <c r="F67"/>
      <c r="G67"/>
      <c r="H67"/>
      <c r="I67"/>
      <c r="J67"/>
    </row>
    <row r="68" spans="1:10" ht="15" x14ac:dyDescent="0.25">
      <c r="A68"/>
      <c r="B68"/>
      <c r="C68"/>
      <c r="D68"/>
      <c r="E68"/>
      <c r="F68"/>
      <c r="G68"/>
      <c r="H68"/>
      <c r="I68"/>
      <c r="J68"/>
    </row>
    <row r="69" spans="1:10" ht="15" x14ac:dyDescent="0.25">
      <c r="A69"/>
      <c r="B69"/>
      <c r="C69"/>
      <c r="D69"/>
      <c r="E69"/>
      <c r="F69"/>
      <c r="G69"/>
      <c r="H69"/>
      <c r="I69"/>
      <c r="J69"/>
    </row>
    <row r="70" spans="1:10" ht="15" x14ac:dyDescent="0.25">
      <c r="A70"/>
      <c r="B70"/>
      <c r="C70"/>
      <c r="D70"/>
      <c r="E70"/>
      <c r="F70"/>
      <c r="G70"/>
      <c r="H70"/>
      <c r="I70"/>
      <c r="J70"/>
    </row>
    <row r="71" spans="1:10" ht="15" x14ac:dyDescent="0.25">
      <c r="A71"/>
      <c r="B71"/>
      <c r="C71"/>
      <c r="D71"/>
      <c r="E71"/>
      <c r="F71"/>
      <c r="G71"/>
      <c r="H71"/>
      <c r="I71"/>
      <c r="J71"/>
    </row>
    <row r="72" spans="1:10" ht="15" x14ac:dyDescent="0.25">
      <c r="A72"/>
      <c r="B72"/>
      <c r="C72"/>
      <c r="D72"/>
      <c r="E72"/>
      <c r="F72"/>
      <c r="G72"/>
      <c r="H72"/>
      <c r="I72"/>
      <c r="J72"/>
    </row>
    <row r="73" spans="1:10" ht="15" x14ac:dyDescent="0.25">
      <c r="A73"/>
      <c r="B73"/>
      <c r="C73"/>
      <c r="D73"/>
      <c r="E73"/>
      <c r="F73"/>
      <c r="G73"/>
      <c r="H73"/>
      <c r="I73"/>
      <c r="J73"/>
    </row>
    <row r="74" spans="1:10" ht="15" x14ac:dyDescent="0.25">
      <c r="A74"/>
      <c r="B74"/>
      <c r="C74"/>
      <c r="D74"/>
      <c r="E74"/>
      <c r="F74"/>
      <c r="G74"/>
      <c r="H74"/>
      <c r="I74"/>
      <c r="J74"/>
    </row>
    <row r="75" spans="1:10" ht="15" x14ac:dyDescent="0.25">
      <c r="A75"/>
      <c r="B75"/>
      <c r="C75"/>
      <c r="D75"/>
      <c r="E75"/>
      <c r="F75"/>
      <c r="G75"/>
      <c r="H75"/>
      <c r="I75"/>
      <c r="J75"/>
    </row>
    <row r="76" spans="1:10" ht="15" x14ac:dyDescent="0.25">
      <c r="A76"/>
      <c r="B76"/>
      <c r="C76"/>
      <c r="D76"/>
      <c r="E76"/>
      <c r="F76"/>
      <c r="G76"/>
      <c r="H76"/>
      <c r="I76"/>
      <c r="J76"/>
    </row>
    <row r="77" spans="1:10" ht="15" x14ac:dyDescent="0.25">
      <c r="A77"/>
      <c r="B77"/>
      <c r="C77"/>
      <c r="D77"/>
      <c r="E77"/>
      <c r="F77"/>
      <c r="G77"/>
      <c r="H77"/>
      <c r="I77"/>
      <c r="J77"/>
    </row>
    <row r="78" spans="1:10" ht="15" x14ac:dyDescent="0.25">
      <c r="A78"/>
      <c r="B78"/>
      <c r="C78"/>
      <c r="D78"/>
      <c r="E78"/>
      <c r="F78"/>
      <c r="G78"/>
      <c r="H78"/>
      <c r="I78"/>
      <c r="J78"/>
    </row>
    <row r="79" spans="1:10" ht="15" x14ac:dyDescent="0.25">
      <c r="A79"/>
      <c r="B79"/>
      <c r="C79"/>
      <c r="D79"/>
      <c r="E79"/>
      <c r="F79"/>
      <c r="G79"/>
      <c r="H79"/>
      <c r="I79"/>
      <c r="J79"/>
    </row>
    <row r="80" spans="1:10" ht="15" x14ac:dyDescent="0.25">
      <c r="A80"/>
      <c r="B80"/>
      <c r="C80"/>
      <c r="D80"/>
      <c r="E80"/>
      <c r="F80"/>
      <c r="G80"/>
      <c r="H80"/>
      <c r="I80"/>
      <c r="J80"/>
    </row>
    <row r="81" spans="1:10" ht="15" x14ac:dyDescent="0.25">
      <c r="A81"/>
      <c r="B81"/>
      <c r="C81"/>
      <c r="D81"/>
      <c r="E81"/>
      <c r="F81"/>
      <c r="G81"/>
      <c r="H81"/>
      <c r="I81"/>
      <c r="J81"/>
    </row>
    <row r="82" spans="1:10" ht="15" x14ac:dyDescent="0.25">
      <c r="A82"/>
      <c r="B82"/>
      <c r="C82"/>
      <c r="D82"/>
      <c r="E82"/>
      <c r="F82"/>
      <c r="G82"/>
      <c r="H82"/>
      <c r="I82"/>
      <c r="J82"/>
    </row>
    <row r="83" spans="1:10" ht="15" x14ac:dyDescent="0.25">
      <c r="A83"/>
      <c r="B83"/>
      <c r="C83"/>
      <c r="D83"/>
      <c r="E83"/>
      <c r="F83"/>
      <c r="G83"/>
      <c r="H83"/>
      <c r="I83"/>
      <c r="J83"/>
    </row>
    <row r="84" spans="1:10" ht="15" x14ac:dyDescent="0.25">
      <c r="A84"/>
      <c r="B84"/>
      <c r="C84"/>
      <c r="D84"/>
      <c r="E84"/>
      <c r="F84"/>
      <c r="G84"/>
      <c r="H84"/>
      <c r="I84"/>
      <c r="J84"/>
    </row>
    <row r="85" spans="1:10" ht="15" x14ac:dyDescent="0.25">
      <c r="A85"/>
      <c r="B85"/>
      <c r="C85"/>
      <c r="D85"/>
      <c r="E85"/>
      <c r="F85"/>
      <c r="G85"/>
      <c r="H85"/>
      <c r="I85"/>
      <c r="J85"/>
    </row>
  </sheetData>
  <mergeCells count="10">
    <mergeCell ref="A34:J34"/>
    <mergeCell ref="A1:J2"/>
    <mergeCell ref="E4:J5"/>
    <mergeCell ref="A7:B9"/>
    <mergeCell ref="C7:D9"/>
    <mergeCell ref="E7:F9"/>
    <mergeCell ref="G7:H9"/>
    <mergeCell ref="I7:J9"/>
    <mergeCell ref="A11:E11"/>
    <mergeCell ref="A18:E18"/>
  </mergeCells>
  <dataValidations count="1">
    <dataValidation type="list" showInputMessage="1" showErrorMessage="1" errorTitle="Invalid currency" error="Please select ARS or USD MEP from the dropdown." promptTitle="Display currency" prompt="Select ARS or USD MEP." sqref="B5" xr:uid="{D160EE4C-0A8D-484E-9EE4-F8A5112EBEA2}">
      <formula1>"ARS,USD MEP"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F064-42E4-431F-AB6A-5426BB5AC161}">
  <sheetPr codeName="Hoja16">
    <tabColor rgb="FFD9E3F0"/>
  </sheetPr>
  <dimension ref="A1:AD83"/>
  <sheetViews>
    <sheetView showGridLines="0" workbookViewId="0">
      <selection activeCell="A36" sqref="A36:I77"/>
    </sheetView>
  </sheetViews>
  <sheetFormatPr defaultColWidth="11.42578125" defaultRowHeight="15" x14ac:dyDescent="0.25"/>
  <cols>
    <col min="1" max="9" width="15.7109375" customWidth="1"/>
    <col min="10" max="12" width="16.7109375" customWidth="1"/>
    <col min="13" max="16" width="11.42578125" hidden="1" customWidth="1"/>
    <col min="17" max="30" width="11.42578125" customWidth="1"/>
    <col min="31" max="16384" width="11.42578125" style="15"/>
  </cols>
  <sheetData>
    <row r="1" spans="1:12" ht="30" customHeight="1" x14ac:dyDescent="0.25">
      <c r="A1" s="82" t="s">
        <v>334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2" ht="30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ht="8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21.95" customHeight="1" x14ac:dyDescent="0.25">
      <c r="A4" s="62" t="s">
        <v>286</v>
      </c>
      <c r="B4" s="67" t="s">
        <v>60</v>
      </c>
      <c r="C4" s="23"/>
      <c r="D4" s="23"/>
      <c r="E4" s="92" t="s">
        <v>333</v>
      </c>
      <c r="F4" s="92"/>
      <c r="G4" s="92"/>
      <c r="H4" s="92"/>
      <c r="I4" s="92"/>
      <c r="J4" s="92"/>
      <c r="K4" s="92"/>
      <c r="L4" s="92"/>
    </row>
    <row r="5" spans="1:12" ht="21.95" customHeight="1" x14ac:dyDescent="0.25">
      <c r="A5" s="62" t="s">
        <v>208</v>
      </c>
      <c r="B5" s="67" t="s">
        <v>25</v>
      </c>
      <c r="C5" s="23"/>
      <c r="D5" s="23"/>
      <c r="E5" s="92"/>
      <c r="F5" s="92"/>
      <c r="G5" s="92"/>
      <c r="H5" s="92"/>
      <c r="I5" s="92"/>
      <c r="J5" s="92"/>
      <c r="K5" s="92"/>
      <c r="L5" s="92"/>
    </row>
    <row r="6" spans="1:12" ht="21.95" customHeight="1" x14ac:dyDescent="0.25">
      <c r="A6" s="62" t="s">
        <v>288</v>
      </c>
      <c r="B6" s="68">
        <v>46143</v>
      </c>
      <c r="C6" s="23"/>
      <c r="D6" s="23"/>
      <c r="E6" s="92"/>
      <c r="F6" s="92"/>
      <c r="G6" s="92"/>
      <c r="H6" s="92"/>
      <c r="I6" s="92"/>
      <c r="J6" s="92"/>
      <c r="K6" s="92"/>
      <c r="L6" s="92"/>
    </row>
    <row r="7" spans="1:12" ht="9.9499999999999993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8" customHeight="1" x14ac:dyDescent="0.25">
      <c r="A8" s="94" t="s">
        <v>335</v>
      </c>
      <c r="B8" s="94"/>
      <c r="C8" s="94" t="s">
        <v>336</v>
      </c>
      <c r="D8" s="94"/>
      <c r="E8" s="94" t="s">
        <v>341</v>
      </c>
      <c r="F8" s="94"/>
      <c r="G8" s="94" t="s">
        <v>342</v>
      </c>
      <c r="H8" s="94"/>
      <c r="I8" s="94" t="s">
        <v>343</v>
      </c>
      <c r="J8" s="94"/>
      <c r="K8" s="94" t="s">
        <v>337</v>
      </c>
      <c r="L8" s="94"/>
    </row>
    <row r="9" spans="1:12" ht="24" customHeight="1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8" customHeight="1" x14ac:dyDescent="0.2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</row>
    <row r="11" spans="1:12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21.95" customHeight="1" x14ac:dyDescent="0.25">
      <c r="A12" s="85" t="s">
        <v>292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7"/>
    </row>
    <row r="13" spans="1:12" ht="33.950000000000003" customHeight="1" x14ac:dyDescent="0.25">
      <c r="A13" s="8" t="s">
        <v>293</v>
      </c>
      <c r="B13" s="8" t="s">
        <v>299</v>
      </c>
      <c r="C13" s="8" t="s">
        <v>300</v>
      </c>
      <c r="D13" s="8" t="s">
        <v>323</v>
      </c>
      <c r="E13" s="8" t="s">
        <v>324</v>
      </c>
      <c r="F13" s="8" t="s">
        <v>325</v>
      </c>
      <c r="G13" s="8" t="s">
        <v>294</v>
      </c>
      <c r="H13" s="8" t="s">
        <v>326</v>
      </c>
      <c r="I13" s="8" t="s">
        <v>269</v>
      </c>
      <c r="J13" s="100" t="s">
        <v>15</v>
      </c>
      <c r="K13" s="100"/>
      <c r="L13" s="100"/>
    </row>
    <row r="14" spans="1:12" ht="15" customHeight="1" x14ac:dyDescent="0.25">
      <c r="A14" s="9" t="s">
        <v>295</v>
      </c>
      <c r="B14" s="29">
        <v>46148</v>
      </c>
      <c r="C14" s="29">
        <v>46149</v>
      </c>
      <c r="D14" s="10">
        <v>12760</v>
      </c>
      <c r="E14" s="10">
        <v>12680</v>
      </c>
      <c r="F14" s="13">
        <v>-80</v>
      </c>
      <c r="G14" s="14">
        <v>-6.269592476489028E-3</v>
      </c>
      <c r="H14" s="10">
        <v>0</v>
      </c>
      <c r="I14" s="10">
        <v>0</v>
      </c>
      <c r="J14" s="101" t="s">
        <v>302</v>
      </c>
      <c r="K14" s="102"/>
      <c r="L14" s="103"/>
    </row>
    <row r="15" spans="1:12" x14ac:dyDescent="0.25">
      <c r="A15" s="32" t="s">
        <v>298</v>
      </c>
      <c r="B15" s="31">
        <v>46143</v>
      </c>
      <c r="C15" s="31">
        <v>46149</v>
      </c>
      <c r="D15" s="33">
        <v>12440</v>
      </c>
      <c r="E15" s="33">
        <v>12680</v>
      </c>
      <c r="F15" s="52">
        <v>240</v>
      </c>
      <c r="G15" s="53">
        <v>1.9292604501607719E-2</v>
      </c>
      <c r="H15" s="33">
        <v>0</v>
      </c>
      <c r="I15" s="52">
        <v>186.31</v>
      </c>
      <c r="J15" s="95" t="s">
        <v>303</v>
      </c>
      <c r="K15" s="96"/>
      <c r="L15" s="97"/>
    </row>
    <row r="16" spans="1:12" ht="15" customHeight="1" x14ac:dyDescent="0.25">
      <c r="A16" s="9" t="s">
        <v>296</v>
      </c>
      <c r="B16" s="29">
        <v>46023</v>
      </c>
      <c r="C16" s="29">
        <v>46149</v>
      </c>
      <c r="D16" s="10">
        <v>16400</v>
      </c>
      <c r="E16" s="10">
        <v>12680</v>
      </c>
      <c r="F16" s="13">
        <v>-3720</v>
      </c>
      <c r="G16" s="14">
        <v>-0.22682926829268293</v>
      </c>
      <c r="H16" s="10">
        <v>0</v>
      </c>
      <c r="I16" s="50">
        <v>199.01000000000002</v>
      </c>
      <c r="J16" s="101" t="s">
        <v>304</v>
      </c>
      <c r="K16" s="102"/>
      <c r="L16" s="103"/>
    </row>
    <row r="17" spans="1:12" ht="15" customHeight="1" x14ac:dyDescent="0.25">
      <c r="A17" s="32" t="s">
        <v>297</v>
      </c>
      <c r="B17" s="31">
        <v>45870</v>
      </c>
      <c r="C17" s="31">
        <v>46149</v>
      </c>
      <c r="D17" s="33">
        <v>13380</v>
      </c>
      <c r="E17" s="33">
        <v>12680</v>
      </c>
      <c r="F17" s="36">
        <v>-700</v>
      </c>
      <c r="G17" s="37">
        <v>-5.2316890881913304E-2</v>
      </c>
      <c r="H17" s="33">
        <v>0</v>
      </c>
      <c r="I17" s="52">
        <v>422.09</v>
      </c>
      <c r="J17" s="95" t="s">
        <v>301</v>
      </c>
      <c r="K17" s="96"/>
      <c r="L17" s="97"/>
    </row>
    <row r="18" spans="1:12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2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2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2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2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6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6" ht="33.950000000000003" customHeight="1" x14ac:dyDescent="0.25">
      <c r="A35" s="8" t="s">
        <v>21</v>
      </c>
      <c r="B35" s="8" t="s">
        <v>8</v>
      </c>
      <c r="C35" s="8" t="s">
        <v>211</v>
      </c>
      <c r="D35" s="8" t="s">
        <v>218</v>
      </c>
      <c r="E35" s="8" t="s">
        <v>321</v>
      </c>
      <c r="F35" s="8" t="s">
        <v>287</v>
      </c>
      <c r="G35" s="8" t="s">
        <v>212</v>
      </c>
      <c r="H35" s="8" t="s">
        <v>213</v>
      </c>
      <c r="I35" s="8" t="s">
        <v>322</v>
      </c>
      <c r="J35" s="23"/>
      <c r="K35" s="23"/>
      <c r="L35" s="23"/>
      <c r="M35" t="s">
        <v>264</v>
      </c>
      <c r="N35" t="s">
        <v>287</v>
      </c>
      <c r="O35" t="s">
        <v>21</v>
      </c>
      <c r="P35" t="s">
        <v>213</v>
      </c>
    </row>
    <row r="36" spans="1:16" x14ac:dyDescent="0.25">
      <c r="A36" s="29">
        <v>45870</v>
      </c>
      <c r="B36" s="10">
        <v>2</v>
      </c>
      <c r="C36" s="10">
        <v>13380</v>
      </c>
      <c r="D36" s="10">
        <v>13552.83</v>
      </c>
      <c r="E36" s="13">
        <v>-172.82999999999993</v>
      </c>
      <c r="F36" s="14">
        <v>-1.2752318150526489E-2</v>
      </c>
      <c r="G36" s="50">
        <v>13380</v>
      </c>
      <c r="H36" s="12">
        <v>0</v>
      </c>
      <c r="I36" s="11">
        <v>6690</v>
      </c>
      <c r="J36" s="23"/>
      <c r="K36" s="23"/>
      <c r="L36" s="23"/>
      <c r="M36" s="7">
        <v>45870</v>
      </c>
      <c r="N36" s="28">
        <v>-0.21787552857963982</v>
      </c>
      <c r="O36" s="27">
        <v>46146</v>
      </c>
      <c r="P36" s="28">
        <v>-2.3311897106109324E-2</v>
      </c>
    </row>
    <row r="37" spans="1:16" x14ac:dyDescent="0.25">
      <c r="A37" s="31">
        <v>45874</v>
      </c>
      <c r="B37" s="33">
        <v>2</v>
      </c>
      <c r="C37" s="33">
        <v>13720</v>
      </c>
      <c r="D37" s="33">
        <v>13552.83</v>
      </c>
      <c r="E37" s="52">
        <v>167.17000000000007</v>
      </c>
      <c r="F37" s="53">
        <v>1.2334693196919025E-2</v>
      </c>
      <c r="G37" s="52">
        <v>340</v>
      </c>
      <c r="H37" s="53">
        <v>2.5411061285500747E-2</v>
      </c>
      <c r="I37" s="35">
        <v>6860</v>
      </c>
      <c r="J37" s="23"/>
      <c r="K37" s="23"/>
      <c r="L37" s="23"/>
      <c r="M37" s="7">
        <v>45901</v>
      </c>
      <c r="N37" s="28">
        <v>-0.3728247163138621</v>
      </c>
      <c r="O37" s="27">
        <v>46147</v>
      </c>
      <c r="P37" s="28">
        <v>-9.876543209876543E-3</v>
      </c>
    </row>
    <row r="38" spans="1:16" x14ac:dyDescent="0.25">
      <c r="A38" s="29">
        <v>45877</v>
      </c>
      <c r="B38" s="10">
        <v>2</v>
      </c>
      <c r="C38" s="10">
        <v>13560</v>
      </c>
      <c r="D38" s="10">
        <v>13552.83</v>
      </c>
      <c r="E38" s="50">
        <v>7.1700000000000728</v>
      </c>
      <c r="F38" s="51">
        <v>5.2904079812113574E-4</v>
      </c>
      <c r="G38" s="13">
        <v>-160</v>
      </c>
      <c r="H38" s="14">
        <v>-1.1661807580174927E-2</v>
      </c>
      <c r="I38" s="11">
        <v>6780</v>
      </c>
      <c r="J38" s="23"/>
      <c r="K38" s="23"/>
      <c r="L38" s="23"/>
      <c r="M38" s="7">
        <v>45931</v>
      </c>
      <c r="N38" s="28">
        <v>0.30526244334209168</v>
      </c>
      <c r="O38" s="27">
        <v>46148</v>
      </c>
      <c r="P38" s="28">
        <v>6.0681629260182876E-2</v>
      </c>
    </row>
    <row r="39" spans="1:16" x14ac:dyDescent="0.25">
      <c r="A39" s="31">
        <v>45881</v>
      </c>
      <c r="B39" s="33">
        <v>2</v>
      </c>
      <c r="C39" s="33">
        <v>13740</v>
      </c>
      <c r="D39" s="33">
        <v>13552.83</v>
      </c>
      <c r="E39" s="52">
        <v>187.17000000000007</v>
      </c>
      <c r="F39" s="53">
        <v>1.3810399746768761E-2</v>
      </c>
      <c r="G39" s="52">
        <v>180</v>
      </c>
      <c r="H39" s="53">
        <v>1.3274336283185841E-2</v>
      </c>
      <c r="I39" s="35">
        <v>6870</v>
      </c>
      <c r="J39" s="23"/>
      <c r="K39" s="23"/>
      <c r="L39" s="23"/>
      <c r="M39" s="7">
        <v>45962</v>
      </c>
      <c r="N39" s="28">
        <v>0.16875958748099107</v>
      </c>
      <c r="O39" s="27">
        <v>46149</v>
      </c>
      <c r="P39" s="28">
        <v>-6.269592476489028E-3</v>
      </c>
    </row>
    <row r="40" spans="1:16" x14ac:dyDescent="0.25">
      <c r="A40" s="29">
        <v>45882</v>
      </c>
      <c r="B40" s="10">
        <v>2</v>
      </c>
      <c r="C40" s="10">
        <v>13660</v>
      </c>
      <c r="D40" s="10">
        <v>13552.83</v>
      </c>
      <c r="E40" s="50">
        <v>107.17000000000007</v>
      </c>
      <c r="F40" s="51">
        <v>7.9075735473698172E-3</v>
      </c>
      <c r="G40" s="13">
        <v>-80</v>
      </c>
      <c r="H40" s="14">
        <v>-5.822416302765648E-3</v>
      </c>
      <c r="I40" s="11">
        <v>6830</v>
      </c>
      <c r="J40" s="23"/>
      <c r="K40" s="23"/>
      <c r="L40" s="23"/>
      <c r="M40" s="7">
        <v>45992</v>
      </c>
      <c r="N40" s="28">
        <v>0.21007937087678366</v>
      </c>
    </row>
    <row r="41" spans="1:16" x14ac:dyDescent="0.25">
      <c r="A41" s="31">
        <v>45887</v>
      </c>
      <c r="B41" s="33">
        <v>2</v>
      </c>
      <c r="C41" s="33">
        <v>12760</v>
      </c>
      <c r="D41" s="33">
        <v>13552.83</v>
      </c>
      <c r="E41" s="36">
        <v>-792.82999999999993</v>
      </c>
      <c r="F41" s="37">
        <v>-5.8499221195868312E-2</v>
      </c>
      <c r="G41" s="36">
        <v>-900</v>
      </c>
      <c r="H41" s="37">
        <v>-6.5885797950219621E-2</v>
      </c>
      <c r="I41" s="35">
        <v>6380</v>
      </c>
      <c r="J41" s="23"/>
      <c r="K41" s="23"/>
      <c r="L41" s="23"/>
      <c r="M41" s="7">
        <v>46023</v>
      </c>
      <c r="N41" s="28">
        <v>0.22631214292513077</v>
      </c>
    </row>
    <row r="42" spans="1:16" x14ac:dyDescent="0.25">
      <c r="A42" s="29">
        <v>45897</v>
      </c>
      <c r="B42" s="10">
        <v>2</v>
      </c>
      <c r="C42" s="10">
        <v>10740</v>
      </c>
      <c r="D42" s="10">
        <v>13552.83</v>
      </c>
      <c r="E42" s="13">
        <v>-2812.83</v>
      </c>
      <c r="F42" s="14">
        <v>-0.20754558273069168</v>
      </c>
      <c r="G42" s="13">
        <v>-2020</v>
      </c>
      <c r="H42" s="14">
        <v>-0.15830721003134796</v>
      </c>
      <c r="I42" s="11">
        <v>5370</v>
      </c>
      <c r="J42" s="23"/>
      <c r="K42" s="23"/>
      <c r="L42" s="23"/>
      <c r="M42" s="7">
        <v>46054</v>
      </c>
      <c r="N42" s="28">
        <v>-3.4150063123347667E-2</v>
      </c>
    </row>
    <row r="43" spans="1:16" x14ac:dyDescent="0.25">
      <c r="A43" s="31">
        <v>45898</v>
      </c>
      <c r="B43" s="33">
        <v>2</v>
      </c>
      <c r="C43" s="33">
        <v>10600</v>
      </c>
      <c r="D43" s="33">
        <v>13552.83</v>
      </c>
      <c r="E43" s="36">
        <v>-2952.83</v>
      </c>
      <c r="F43" s="37">
        <v>-0.21787552857963982</v>
      </c>
      <c r="G43" s="36">
        <v>-140</v>
      </c>
      <c r="H43" s="37">
        <v>-1.3035381750465549E-2</v>
      </c>
      <c r="I43" s="35">
        <v>5300</v>
      </c>
      <c r="J43" s="23"/>
      <c r="K43" s="23"/>
      <c r="L43" s="23"/>
      <c r="M43" s="7">
        <v>46082</v>
      </c>
      <c r="N43" s="28">
        <v>1.6761812846468233E-2</v>
      </c>
    </row>
    <row r="44" spans="1:16" x14ac:dyDescent="0.25">
      <c r="A44" s="29">
        <v>45930</v>
      </c>
      <c r="B44" s="10">
        <v>2</v>
      </c>
      <c r="C44" s="10">
        <v>8500</v>
      </c>
      <c r="D44" s="10">
        <v>13552.83</v>
      </c>
      <c r="E44" s="13">
        <v>-5052.83</v>
      </c>
      <c r="F44" s="14">
        <v>-0.3728247163138621</v>
      </c>
      <c r="G44" s="13">
        <v>-2100</v>
      </c>
      <c r="H44" s="14">
        <v>-0.19811320754716982</v>
      </c>
      <c r="I44" s="11">
        <v>4250</v>
      </c>
      <c r="J44" s="23"/>
      <c r="K44" s="23"/>
      <c r="L44" s="23"/>
      <c r="M44" s="7">
        <v>46113</v>
      </c>
      <c r="N44" s="28">
        <v>-8.2110525993464092E-2</v>
      </c>
    </row>
    <row r="45" spans="1:16" x14ac:dyDescent="0.25">
      <c r="A45" s="31">
        <v>45961</v>
      </c>
      <c r="B45" s="33">
        <v>2</v>
      </c>
      <c r="C45" s="33">
        <v>17690</v>
      </c>
      <c r="D45" s="33">
        <v>13552.83</v>
      </c>
      <c r="E45" s="52">
        <v>4137.17</v>
      </c>
      <c r="F45" s="53">
        <v>0.30526244334209168</v>
      </c>
      <c r="G45" s="52">
        <v>9190</v>
      </c>
      <c r="H45" s="53">
        <v>1.0811764705882352</v>
      </c>
      <c r="I45" s="35">
        <v>8845</v>
      </c>
      <c r="J45" s="23"/>
      <c r="K45" s="23"/>
      <c r="L45" s="23"/>
      <c r="M45" s="7">
        <v>46143</v>
      </c>
      <c r="N45" s="28">
        <v>-6.4402047395267253E-2</v>
      </c>
    </row>
    <row r="46" spans="1:16" x14ac:dyDescent="0.25">
      <c r="A46" s="29">
        <v>45989</v>
      </c>
      <c r="B46" s="10">
        <v>2</v>
      </c>
      <c r="C46" s="10">
        <v>15840</v>
      </c>
      <c r="D46" s="10">
        <v>13552.83</v>
      </c>
      <c r="E46" s="50">
        <v>2287.17</v>
      </c>
      <c r="F46" s="51">
        <v>0.16875958748099107</v>
      </c>
      <c r="G46" s="13">
        <v>-1850</v>
      </c>
      <c r="H46" s="14">
        <v>-0.10457885811192764</v>
      </c>
      <c r="I46" s="11">
        <v>7920</v>
      </c>
      <c r="J46" s="23"/>
      <c r="K46" s="23"/>
      <c r="L46" s="23"/>
    </row>
    <row r="47" spans="1:16" x14ac:dyDescent="0.25">
      <c r="A47" s="31">
        <v>46021</v>
      </c>
      <c r="B47" s="33">
        <v>2</v>
      </c>
      <c r="C47" s="33">
        <v>16400</v>
      </c>
      <c r="D47" s="33">
        <v>13552.83</v>
      </c>
      <c r="E47" s="52">
        <v>2847.17</v>
      </c>
      <c r="F47" s="53">
        <v>0.21007937087678366</v>
      </c>
      <c r="G47" s="52">
        <v>560</v>
      </c>
      <c r="H47" s="53">
        <v>3.5353535353535352E-2</v>
      </c>
      <c r="I47" s="35">
        <v>8200</v>
      </c>
      <c r="J47" s="23"/>
      <c r="K47" s="23"/>
      <c r="L47" s="23"/>
    </row>
    <row r="48" spans="1:16" x14ac:dyDescent="0.25">
      <c r="A48" s="29">
        <v>46041</v>
      </c>
      <c r="B48" s="10">
        <v>2</v>
      </c>
      <c r="C48" s="10">
        <v>15510</v>
      </c>
      <c r="D48" s="10">
        <v>13552.83</v>
      </c>
      <c r="E48" s="50">
        <v>1957.17</v>
      </c>
      <c r="F48" s="51">
        <v>0.1444104294084704</v>
      </c>
      <c r="G48" s="13">
        <v>-890</v>
      </c>
      <c r="H48" s="14">
        <v>-5.4268292682926829E-2</v>
      </c>
      <c r="I48" s="11">
        <v>7755</v>
      </c>
      <c r="J48" s="23"/>
      <c r="K48" s="23"/>
      <c r="L48" s="23"/>
    </row>
    <row r="49" spans="1:12" x14ac:dyDescent="0.25">
      <c r="A49" s="31">
        <v>46043</v>
      </c>
      <c r="B49" s="33">
        <v>2</v>
      </c>
      <c r="C49" s="33">
        <v>16240</v>
      </c>
      <c r="D49" s="33">
        <v>13552.83</v>
      </c>
      <c r="E49" s="52">
        <v>2687.17</v>
      </c>
      <c r="F49" s="53">
        <v>0.19827371847798578</v>
      </c>
      <c r="G49" s="52">
        <v>730</v>
      </c>
      <c r="H49" s="53">
        <v>4.7066408768536426E-2</v>
      </c>
      <c r="I49" s="35">
        <v>8120</v>
      </c>
      <c r="J49" s="23"/>
      <c r="K49" s="23"/>
      <c r="L49" s="23"/>
    </row>
    <row r="50" spans="1:12" x14ac:dyDescent="0.25">
      <c r="A50" s="29">
        <v>46052</v>
      </c>
      <c r="B50" s="10">
        <v>2</v>
      </c>
      <c r="C50" s="10">
        <v>16620</v>
      </c>
      <c r="D50" s="10">
        <v>13552.83</v>
      </c>
      <c r="E50" s="50">
        <v>3067.17</v>
      </c>
      <c r="F50" s="51">
        <v>0.22631214292513077</v>
      </c>
      <c r="G50" s="50">
        <v>380</v>
      </c>
      <c r="H50" s="51">
        <v>2.3399014778325122E-2</v>
      </c>
      <c r="I50" s="11">
        <v>8310</v>
      </c>
      <c r="J50" s="23"/>
      <c r="K50" s="23"/>
      <c r="L50" s="23"/>
    </row>
    <row r="51" spans="1:12" x14ac:dyDescent="0.25">
      <c r="A51" s="31">
        <v>46080</v>
      </c>
      <c r="B51" s="33">
        <v>2</v>
      </c>
      <c r="C51" s="33">
        <v>13090</v>
      </c>
      <c r="D51" s="33">
        <v>13552.83</v>
      </c>
      <c r="E51" s="36">
        <v>-462.82999999999993</v>
      </c>
      <c r="F51" s="37">
        <v>-3.4150063123347667E-2</v>
      </c>
      <c r="G51" s="36">
        <v>-3530</v>
      </c>
      <c r="H51" s="37">
        <v>-0.21239470517448858</v>
      </c>
      <c r="I51" s="35">
        <v>6545</v>
      </c>
      <c r="J51" s="23"/>
      <c r="K51" s="23"/>
      <c r="L51" s="23"/>
    </row>
    <row r="52" spans="1:12" x14ac:dyDescent="0.25">
      <c r="A52" s="29">
        <v>46111</v>
      </c>
      <c r="B52" s="10">
        <v>2</v>
      </c>
      <c r="C52" s="10">
        <v>12750</v>
      </c>
      <c r="D52" s="10">
        <v>13552.83</v>
      </c>
      <c r="E52" s="13">
        <v>-802.82999999999993</v>
      </c>
      <c r="F52" s="14">
        <v>-5.9237074470793183E-2</v>
      </c>
      <c r="G52" s="13">
        <v>-340</v>
      </c>
      <c r="H52" s="14">
        <v>-2.5974025974025976E-2</v>
      </c>
      <c r="I52" s="11">
        <v>6375</v>
      </c>
      <c r="J52" s="23"/>
      <c r="K52" s="23"/>
      <c r="L52" s="23"/>
    </row>
    <row r="53" spans="1:12" x14ac:dyDescent="0.25">
      <c r="A53" s="31">
        <v>46112</v>
      </c>
      <c r="B53" s="33">
        <v>2</v>
      </c>
      <c r="C53" s="33">
        <v>13780</v>
      </c>
      <c r="D53" s="33">
        <v>13552.83</v>
      </c>
      <c r="E53" s="52">
        <v>227.17000000000007</v>
      </c>
      <c r="F53" s="53">
        <v>1.6761812846468233E-2</v>
      </c>
      <c r="G53" s="52">
        <v>1030</v>
      </c>
      <c r="H53" s="53">
        <v>8.0784313725490192E-2</v>
      </c>
      <c r="I53" s="35">
        <v>6890</v>
      </c>
      <c r="J53" s="23"/>
      <c r="K53" s="23"/>
      <c r="L53" s="23"/>
    </row>
    <row r="54" spans="1:12" x14ac:dyDescent="0.25">
      <c r="A54" s="29">
        <v>46113</v>
      </c>
      <c r="B54" s="10">
        <v>2</v>
      </c>
      <c r="C54" s="10">
        <v>13780</v>
      </c>
      <c r="D54" s="10">
        <v>13552.83</v>
      </c>
      <c r="E54" s="50">
        <v>227.17000000000007</v>
      </c>
      <c r="F54" s="51">
        <v>1.6761812846468233E-2</v>
      </c>
      <c r="G54" s="10">
        <v>0</v>
      </c>
      <c r="H54" s="12">
        <v>0</v>
      </c>
      <c r="I54" s="11">
        <v>6890</v>
      </c>
      <c r="J54" s="23"/>
      <c r="K54" s="23"/>
      <c r="L54" s="23"/>
    </row>
    <row r="55" spans="1:12" x14ac:dyDescent="0.25">
      <c r="A55" s="31">
        <v>46118</v>
      </c>
      <c r="B55" s="33">
        <v>2</v>
      </c>
      <c r="C55" s="33">
        <v>13710</v>
      </c>
      <c r="D55" s="33">
        <v>13552.83</v>
      </c>
      <c r="E55" s="52">
        <v>157.17000000000007</v>
      </c>
      <c r="F55" s="53">
        <v>1.1596839921994158E-2</v>
      </c>
      <c r="G55" s="36">
        <v>-70</v>
      </c>
      <c r="H55" s="37">
        <v>-5.0798258345428155E-3</v>
      </c>
      <c r="I55" s="35">
        <v>6855</v>
      </c>
      <c r="J55" s="23"/>
      <c r="K55" s="23"/>
      <c r="L55" s="23"/>
    </row>
    <row r="56" spans="1:12" x14ac:dyDescent="0.25">
      <c r="A56" s="29">
        <v>46119</v>
      </c>
      <c r="B56" s="10">
        <v>2</v>
      </c>
      <c r="C56" s="10">
        <v>13440</v>
      </c>
      <c r="D56" s="10">
        <v>13552.83</v>
      </c>
      <c r="E56" s="13">
        <v>-112.82999999999993</v>
      </c>
      <c r="F56" s="14">
        <v>-8.3251985009772812E-3</v>
      </c>
      <c r="G56" s="13">
        <v>-270</v>
      </c>
      <c r="H56" s="14">
        <v>-1.9693654266958426E-2</v>
      </c>
      <c r="I56" s="11">
        <v>6720</v>
      </c>
      <c r="J56" s="23"/>
      <c r="K56" s="23"/>
      <c r="L56" s="23"/>
    </row>
    <row r="57" spans="1:12" x14ac:dyDescent="0.25">
      <c r="A57" s="31">
        <v>46120</v>
      </c>
      <c r="B57" s="33">
        <v>2</v>
      </c>
      <c r="C57" s="33">
        <v>13990</v>
      </c>
      <c r="D57" s="33">
        <v>13552.83</v>
      </c>
      <c r="E57" s="52">
        <v>437.17000000000007</v>
      </c>
      <c r="F57" s="53">
        <v>3.2256731619890462E-2</v>
      </c>
      <c r="G57" s="52">
        <v>550</v>
      </c>
      <c r="H57" s="53">
        <v>4.0922619047619048E-2</v>
      </c>
      <c r="I57" s="35">
        <v>6995</v>
      </c>
      <c r="J57" s="23"/>
      <c r="K57" s="23"/>
      <c r="L57" s="23"/>
    </row>
    <row r="58" spans="1:12" x14ac:dyDescent="0.25">
      <c r="A58" s="29">
        <v>46121</v>
      </c>
      <c r="B58" s="10">
        <v>2</v>
      </c>
      <c r="C58" s="10">
        <v>14140</v>
      </c>
      <c r="D58" s="10">
        <v>13552.83</v>
      </c>
      <c r="E58" s="50">
        <v>587.17000000000007</v>
      </c>
      <c r="F58" s="51">
        <v>4.3324530743763488E-2</v>
      </c>
      <c r="G58" s="50">
        <v>150</v>
      </c>
      <c r="H58" s="51">
        <v>1.0721944245889922E-2</v>
      </c>
      <c r="I58" s="11">
        <v>7070</v>
      </c>
      <c r="J58" s="23"/>
      <c r="K58" s="23"/>
      <c r="L58" s="23"/>
    </row>
    <row r="59" spans="1:12" x14ac:dyDescent="0.25">
      <c r="A59" s="31">
        <v>46122</v>
      </c>
      <c r="B59" s="33">
        <v>2</v>
      </c>
      <c r="C59" s="33">
        <v>14150</v>
      </c>
      <c r="D59" s="33">
        <v>13552.83</v>
      </c>
      <c r="E59" s="52">
        <v>597.17000000000007</v>
      </c>
      <c r="F59" s="53">
        <v>4.4062384018688353E-2</v>
      </c>
      <c r="G59" s="52">
        <v>10</v>
      </c>
      <c r="H59" s="53">
        <v>7.0721357850070724E-4</v>
      </c>
      <c r="I59" s="35">
        <v>7075</v>
      </c>
      <c r="J59" s="23"/>
      <c r="K59" s="23"/>
      <c r="L59" s="23"/>
    </row>
    <row r="60" spans="1:12" x14ac:dyDescent="0.25">
      <c r="A60" s="29">
        <v>46125</v>
      </c>
      <c r="B60" s="10">
        <v>2</v>
      </c>
      <c r="C60" s="10">
        <v>14270</v>
      </c>
      <c r="D60" s="10">
        <v>13552.83</v>
      </c>
      <c r="E60" s="50">
        <v>717.17000000000007</v>
      </c>
      <c r="F60" s="51">
        <v>5.2916623317786772E-2</v>
      </c>
      <c r="G60" s="50">
        <v>120</v>
      </c>
      <c r="H60" s="51">
        <v>8.4805653710247342E-3</v>
      </c>
      <c r="I60" s="11">
        <v>7135</v>
      </c>
      <c r="J60" s="23"/>
      <c r="K60" s="23"/>
      <c r="L60" s="23"/>
    </row>
    <row r="61" spans="1:12" x14ac:dyDescent="0.25">
      <c r="A61" s="31">
        <v>46126</v>
      </c>
      <c r="B61" s="33">
        <v>2</v>
      </c>
      <c r="C61" s="33">
        <v>14340</v>
      </c>
      <c r="D61" s="33">
        <v>13552.83</v>
      </c>
      <c r="E61" s="52">
        <v>787.17000000000007</v>
      </c>
      <c r="F61" s="53">
        <v>5.8081596242260849E-2</v>
      </c>
      <c r="G61" s="52">
        <v>70</v>
      </c>
      <c r="H61" s="53">
        <v>4.905395935529082E-3</v>
      </c>
      <c r="I61" s="35">
        <v>7170</v>
      </c>
      <c r="J61" s="23"/>
      <c r="K61" s="23"/>
      <c r="L61" s="23"/>
    </row>
    <row r="62" spans="1:12" x14ac:dyDescent="0.25">
      <c r="A62" s="29">
        <v>46127</v>
      </c>
      <c r="B62" s="10">
        <v>2</v>
      </c>
      <c r="C62" s="10">
        <v>14350</v>
      </c>
      <c r="D62" s="10">
        <v>13552.83</v>
      </c>
      <c r="E62" s="50">
        <v>797.17000000000007</v>
      </c>
      <c r="F62" s="51">
        <v>5.8819449517185714E-2</v>
      </c>
      <c r="G62" s="50">
        <v>10</v>
      </c>
      <c r="H62" s="51">
        <v>6.9735006973500695E-4</v>
      </c>
      <c r="I62" s="11">
        <v>7175</v>
      </c>
      <c r="J62" s="23"/>
      <c r="K62" s="23"/>
      <c r="L62" s="23"/>
    </row>
    <row r="63" spans="1:12" x14ac:dyDescent="0.25">
      <c r="A63" s="31">
        <v>46128</v>
      </c>
      <c r="B63" s="33">
        <v>2</v>
      </c>
      <c r="C63" s="33">
        <v>14260</v>
      </c>
      <c r="D63" s="33">
        <v>13552.83</v>
      </c>
      <c r="E63" s="52">
        <v>707.17000000000007</v>
      </c>
      <c r="F63" s="53">
        <v>5.2178770042861901E-2</v>
      </c>
      <c r="G63" s="36">
        <v>-90</v>
      </c>
      <c r="H63" s="37">
        <v>-6.2717770034843206E-3</v>
      </c>
      <c r="I63" s="35">
        <v>7130</v>
      </c>
      <c r="J63" s="23"/>
      <c r="K63" s="23"/>
      <c r="L63" s="23"/>
    </row>
    <row r="64" spans="1:12" x14ac:dyDescent="0.25">
      <c r="A64" s="29">
        <v>46129</v>
      </c>
      <c r="B64" s="10">
        <v>2</v>
      </c>
      <c r="C64" s="10">
        <v>14010</v>
      </c>
      <c r="D64" s="10">
        <v>13552.83</v>
      </c>
      <c r="E64" s="50">
        <v>457.17000000000007</v>
      </c>
      <c r="F64" s="51">
        <v>3.3732438169740198E-2</v>
      </c>
      <c r="G64" s="13">
        <v>-250</v>
      </c>
      <c r="H64" s="14">
        <v>-1.7531556802244039E-2</v>
      </c>
      <c r="I64" s="11">
        <v>7005</v>
      </c>
      <c r="J64" s="23"/>
      <c r="K64" s="23"/>
      <c r="L64" s="23"/>
    </row>
    <row r="65" spans="1:12" x14ac:dyDescent="0.25">
      <c r="A65" s="31">
        <v>46132</v>
      </c>
      <c r="B65" s="33">
        <v>2</v>
      </c>
      <c r="C65" s="33">
        <v>14110</v>
      </c>
      <c r="D65" s="33">
        <v>13552.83</v>
      </c>
      <c r="E65" s="52">
        <v>557.17000000000007</v>
      </c>
      <c r="F65" s="53">
        <v>4.1110970918988882E-2</v>
      </c>
      <c r="G65" s="52">
        <v>100</v>
      </c>
      <c r="H65" s="53">
        <v>7.1377587437544609E-3</v>
      </c>
      <c r="I65" s="35">
        <v>7055</v>
      </c>
      <c r="J65" s="23"/>
      <c r="K65" s="23"/>
      <c r="L65" s="23"/>
    </row>
    <row r="66" spans="1:12" x14ac:dyDescent="0.25">
      <c r="A66" s="29">
        <v>46133</v>
      </c>
      <c r="B66" s="10">
        <v>2</v>
      </c>
      <c r="C66" s="10">
        <v>14050</v>
      </c>
      <c r="D66" s="10">
        <v>13552.83</v>
      </c>
      <c r="E66" s="50">
        <v>497.17000000000007</v>
      </c>
      <c r="F66" s="51">
        <v>3.6683851269439675E-2</v>
      </c>
      <c r="G66" s="13">
        <v>-60</v>
      </c>
      <c r="H66" s="14">
        <v>-4.2523033309709423E-3</v>
      </c>
      <c r="I66" s="11">
        <v>7025</v>
      </c>
      <c r="J66" s="23"/>
      <c r="K66" s="23"/>
      <c r="L66" s="23"/>
    </row>
    <row r="67" spans="1:12" x14ac:dyDescent="0.25">
      <c r="A67" s="31">
        <v>46134</v>
      </c>
      <c r="B67" s="33">
        <v>2</v>
      </c>
      <c r="C67" s="33">
        <v>13620</v>
      </c>
      <c r="D67" s="33">
        <v>13552.83</v>
      </c>
      <c r="E67" s="52">
        <v>67.170000000000073</v>
      </c>
      <c r="F67" s="53">
        <v>4.9561604476703446E-3</v>
      </c>
      <c r="G67" s="36">
        <v>-430</v>
      </c>
      <c r="H67" s="37">
        <v>-3.0604982206405694E-2</v>
      </c>
      <c r="I67" s="35">
        <v>6810</v>
      </c>
      <c r="J67" s="23"/>
      <c r="K67" s="23"/>
      <c r="L67" s="23"/>
    </row>
    <row r="68" spans="1:12" x14ac:dyDescent="0.25">
      <c r="A68" s="29">
        <v>46135</v>
      </c>
      <c r="B68" s="10">
        <v>2</v>
      </c>
      <c r="C68" s="10">
        <v>12830</v>
      </c>
      <c r="D68" s="10">
        <v>13552.83</v>
      </c>
      <c r="E68" s="13">
        <v>-722.82999999999993</v>
      </c>
      <c r="F68" s="14">
        <v>-5.3334248271394234E-2</v>
      </c>
      <c r="G68" s="13">
        <v>-790</v>
      </c>
      <c r="H68" s="14">
        <v>-5.8002936857562408E-2</v>
      </c>
      <c r="I68" s="11">
        <v>6415</v>
      </c>
      <c r="J68" s="23"/>
      <c r="K68" s="23"/>
      <c r="L68" s="23"/>
    </row>
    <row r="69" spans="1:12" x14ac:dyDescent="0.25">
      <c r="A69" s="31">
        <v>46136</v>
      </c>
      <c r="B69" s="33">
        <v>2</v>
      </c>
      <c r="C69" s="33">
        <v>12930</v>
      </c>
      <c r="D69" s="33">
        <v>13552.83</v>
      </c>
      <c r="E69" s="36">
        <v>-622.82999999999993</v>
      </c>
      <c r="F69" s="37">
        <v>-4.5955715522145557E-2</v>
      </c>
      <c r="G69" s="52">
        <v>100</v>
      </c>
      <c r="H69" s="53">
        <v>7.7942322681215899E-3</v>
      </c>
      <c r="I69" s="35">
        <v>6465</v>
      </c>
      <c r="J69" s="23"/>
      <c r="K69" s="23"/>
      <c r="L69" s="23"/>
    </row>
    <row r="70" spans="1:12" x14ac:dyDescent="0.25">
      <c r="A70" s="29">
        <v>46139</v>
      </c>
      <c r="B70" s="10">
        <v>2</v>
      </c>
      <c r="C70" s="10">
        <v>13040</v>
      </c>
      <c r="D70" s="10">
        <v>13552.83</v>
      </c>
      <c r="E70" s="13">
        <v>-512.82999999999993</v>
      </c>
      <c r="F70" s="14">
        <v>-3.7839329497972002E-2</v>
      </c>
      <c r="G70" s="50">
        <v>110</v>
      </c>
      <c r="H70" s="51">
        <v>8.5073472544470227E-3</v>
      </c>
      <c r="I70" s="11">
        <v>6520</v>
      </c>
      <c r="J70" s="23"/>
      <c r="K70" s="23"/>
      <c r="L70" s="23"/>
    </row>
    <row r="71" spans="1:12" x14ac:dyDescent="0.25">
      <c r="A71" s="31">
        <v>46140</v>
      </c>
      <c r="B71" s="33">
        <v>2</v>
      </c>
      <c r="C71" s="33">
        <v>13040</v>
      </c>
      <c r="D71" s="33">
        <v>13552.83</v>
      </c>
      <c r="E71" s="36">
        <v>-512.82999999999993</v>
      </c>
      <c r="F71" s="37">
        <v>-3.7839329497972002E-2</v>
      </c>
      <c r="G71" s="33">
        <v>0</v>
      </c>
      <c r="H71" s="34">
        <v>0</v>
      </c>
      <c r="I71" s="35">
        <v>6520</v>
      </c>
      <c r="J71" s="23"/>
      <c r="K71" s="23"/>
      <c r="L71" s="23"/>
    </row>
    <row r="72" spans="1:12" x14ac:dyDescent="0.25">
      <c r="A72" s="29">
        <v>46141</v>
      </c>
      <c r="B72" s="10">
        <v>2</v>
      </c>
      <c r="C72" s="10">
        <v>12760</v>
      </c>
      <c r="D72" s="10">
        <v>13552.83</v>
      </c>
      <c r="E72" s="13">
        <v>-792.82999999999993</v>
      </c>
      <c r="F72" s="14">
        <v>-5.8499221195868312E-2</v>
      </c>
      <c r="G72" s="13">
        <v>-280</v>
      </c>
      <c r="H72" s="14">
        <v>-2.1472392638036811E-2</v>
      </c>
      <c r="I72" s="11">
        <v>6380</v>
      </c>
      <c r="J72" s="23"/>
      <c r="K72" s="23"/>
      <c r="L72" s="23"/>
    </row>
    <row r="73" spans="1:12" x14ac:dyDescent="0.25">
      <c r="A73" s="31">
        <v>46142</v>
      </c>
      <c r="B73" s="33">
        <v>2</v>
      </c>
      <c r="C73" s="33">
        <v>12440</v>
      </c>
      <c r="D73" s="33">
        <v>13552.83</v>
      </c>
      <c r="E73" s="36">
        <v>-1112.83</v>
      </c>
      <c r="F73" s="37">
        <v>-8.2110525993464092E-2</v>
      </c>
      <c r="G73" s="36">
        <v>-320</v>
      </c>
      <c r="H73" s="37">
        <v>-2.5078369905956112E-2</v>
      </c>
      <c r="I73" s="35">
        <v>6220</v>
      </c>
      <c r="J73" s="23"/>
      <c r="K73" s="23"/>
      <c r="L73" s="23"/>
    </row>
    <row r="74" spans="1:12" x14ac:dyDescent="0.25">
      <c r="A74" s="29">
        <v>46146</v>
      </c>
      <c r="B74" s="10">
        <v>2</v>
      </c>
      <c r="C74" s="10">
        <v>12150</v>
      </c>
      <c r="D74" s="10">
        <v>13552.83</v>
      </c>
      <c r="E74" s="13">
        <v>-1402.83</v>
      </c>
      <c r="F74" s="14">
        <v>-0.10350827096628526</v>
      </c>
      <c r="G74" s="13">
        <v>-290</v>
      </c>
      <c r="H74" s="14">
        <v>-2.3311897106109324E-2</v>
      </c>
      <c r="I74" s="11">
        <v>6075</v>
      </c>
      <c r="J74" s="23"/>
      <c r="K74" s="23"/>
      <c r="L74" s="23"/>
    </row>
    <row r="75" spans="1:12" x14ac:dyDescent="0.25">
      <c r="A75" s="31">
        <v>46147</v>
      </c>
      <c r="B75" s="33">
        <v>2</v>
      </c>
      <c r="C75" s="33">
        <v>12030</v>
      </c>
      <c r="D75" s="33">
        <v>13552.83</v>
      </c>
      <c r="E75" s="36">
        <v>-1522.83</v>
      </c>
      <c r="F75" s="37">
        <v>-0.11236251026538369</v>
      </c>
      <c r="G75" s="36">
        <v>-120</v>
      </c>
      <c r="H75" s="37">
        <v>-9.876543209876543E-3</v>
      </c>
      <c r="I75" s="35">
        <v>6015</v>
      </c>
      <c r="J75" s="23"/>
      <c r="K75" s="23"/>
      <c r="L75" s="23"/>
    </row>
    <row r="76" spans="1:12" x14ac:dyDescent="0.25">
      <c r="A76" s="29">
        <v>46148</v>
      </c>
      <c r="B76" s="10">
        <v>2</v>
      </c>
      <c r="C76" s="10">
        <v>12760</v>
      </c>
      <c r="D76" s="10">
        <v>13552.83</v>
      </c>
      <c r="E76" s="13">
        <v>-792.82999999999993</v>
      </c>
      <c r="F76" s="14">
        <v>-5.8499221195868312E-2</v>
      </c>
      <c r="G76" s="50">
        <v>730</v>
      </c>
      <c r="H76" s="51">
        <v>6.0681629260182876E-2</v>
      </c>
      <c r="I76" s="11">
        <v>6380</v>
      </c>
      <c r="J76" s="23"/>
      <c r="K76" s="23"/>
      <c r="L76" s="23"/>
    </row>
    <row r="77" spans="1:12" x14ac:dyDescent="0.25">
      <c r="A77" s="31">
        <v>46149</v>
      </c>
      <c r="B77" s="33">
        <v>2</v>
      </c>
      <c r="C77" s="33">
        <v>12680</v>
      </c>
      <c r="D77" s="33">
        <v>13552.83</v>
      </c>
      <c r="E77" s="36">
        <v>-872.82999999999993</v>
      </c>
      <c r="F77" s="37">
        <v>-6.4402047395267253E-2</v>
      </c>
      <c r="G77" s="36">
        <v>-80</v>
      </c>
      <c r="H77" s="37">
        <v>-6.269592476489028E-3</v>
      </c>
      <c r="I77" s="35">
        <v>6340</v>
      </c>
      <c r="J77" s="23"/>
      <c r="K77" s="23"/>
      <c r="L77" s="23"/>
    </row>
    <row r="79" spans="1:12" ht="15" customHeight="1" x14ac:dyDescent="0.25">
      <c r="A79" s="98" t="s">
        <v>282</v>
      </c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</row>
    <row r="80" spans="1:12" ht="15" customHeight="1" x14ac:dyDescent="0.25">
      <c r="A80" s="99" t="s">
        <v>305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</row>
    <row r="81" spans="1:12" ht="15" customHeight="1" x14ac:dyDescent="0.25">
      <c r="A81" s="99" t="s">
        <v>306</v>
      </c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</row>
    <row r="82" spans="1:12" ht="15" customHeight="1" x14ac:dyDescent="0.25">
      <c r="A82" s="99" t="s">
        <v>307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</row>
    <row r="83" spans="1:12" ht="15" customHeight="1" x14ac:dyDescent="0.25">
      <c r="A83" s="99" t="s">
        <v>308</v>
      </c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</row>
  </sheetData>
  <sortState xmlns:xlrd2="http://schemas.microsoft.com/office/spreadsheetml/2017/richdata2" ref="A36:I77">
    <sortCondition ref="A36:A77"/>
  </sortState>
  <mergeCells count="19">
    <mergeCell ref="A83:L83"/>
    <mergeCell ref="A12:L12"/>
    <mergeCell ref="J13:L13"/>
    <mergeCell ref="J14:L14"/>
    <mergeCell ref="J15:L15"/>
    <mergeCell ref="J16:L16"/>
    <mergeCell ref="J17:L17"/>
    <mergeCell ref="A79:L79"/>
    <mergeCell ref="A80:L80"/>
    <mergeCell ref="A81:L81"/>
    <mergeCell ref="A82:L82"/>
    <mergeCell ref="K8:L10"/>
    <mergeCell ref="E4:L6"/>
    <mergeCell ref="A1:L2"/>
    <mergeCell ref="A8:B10"/>
    <mergeCell ref="C8:D10"/>
    <mergeCell ref="E8:F10"/>
    <mergeCell ref="G8:H10"/>
    <mergeCell ref="I8:J10"/>
  </mergeCells>
  <dataValidations xWindow="189" yWindow="454" count="1">
    <dataValidation type="list" showInputMessage="1" showErrorMessage="1" errorTitle="Invalid currency" error="Please select ARS or USD MEP from the dropdown." promptTitle="Display currency" prompt="Select ARS or USD MEP." sqref="B5" xr:uid="{80E7AF12-110D-456B-B379-6BC0D5D73D53}">
      <formula1>"ARS,USD MEP"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xWindow="189" yWindow="454" count="2">
        <x14:dataValidation type="list" showInputMessage="1" showErrorMessage="1" errorTitle="Invalid ticker" error="Please select a ticker from the dropdown." promptTitle="Selected ticker" prompt="Select a ticker from the available history. Tickers are ordered alphabetically." xr:uid="{B1E31DCF-6444-4AB8-966D-57660AF6653A}">
          <x14:formula1>
            <xm:f>_Ticker_List!$A$2:$A$14</xm:f>
          </x14:formula1>
          <xm:sqref>B4</xm:sqref>
        </x14:dataValidation>
        <x14:dataValidation type="list" showInputMessage="1" showErrorMessage="1" errorTitle="Invalid month" error="Please select a month from the dropdown." promptTitle="Selected month" prompt="Select the month for the daily chart. Months are ordered from newest to oldest." xr:uid="{1F8B68F8-7AC1-4483-A07D-EC8F0E5CBDF4}">
          <x14:formula1>
            <xm:f>_Ticker_Month_List!$A$2:$A$11</xm:f>
          </x14:formula1>
          <xm:sqref>B6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9D99-422B-409D-8587-922E62EDB5DD}">
  <sheetPr codeName="Hoja9">
    <tabColor rgb="FFD9E3F0"/>
  </sheetPr>
  <dimension ref="A1:L19"/>
  <sheetViews>
    <sheetView showGridLines="0" workbookViewId="0">
      <selection sqref="A1:K2"/>
    </sheetView>
  </sheetViews>
  <sheetFormatPr defaultColWidth="11.42578125" defaultRowHeight="15" x14ac:dyDescent="0.25"/>
  <cols>
    <col min="1" max="1" width="12.7109375" customWidth="1"/>
    <col min="2" max="11" width="16.7109375" customWidth="1"/>
    <col min="12" max="12" width="11.140625" hidden="1" customWidth="1"/>
    <col min="13" max="16384" width="11.42578125" style="15"/>
  </cols>
  <sheetData>
    <row r="1" spans="1:12" ht="30" customHeight="1" x14ac:dyDescent="0.25">
      <c r="A1" s="82" t="s">
        <v>338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2" ht="30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2" ht="8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2" ht="36" customHeight="1" x14ac:dyDescent="0.25">
      <c r="A4" s="8" t="s">
        <v>264</v>
      </c>
      <c r="B4" s="8" t="s">
        <v>265</v>
      </c>
      <c r="C4" s="8" t="s">
        <v>267</v>
      </c>
      <c r="D4" s="8" t="s">
        <v>268</v>
      </c>
      <c r="E4" s="8" t="s">
        <v>266</v>
      </c>
      <c r="F4" s="8" t="s">
        <v>270</v>
      </c>
      <c r="G4" s="8" t="s">
        <v>271</v>
      </c>
      <c r="H4" s="8" t="s">
        <v>272</v>
      </c>
      <c r="I4" s="8" t="s">
        <v>269</v>
      </c>
      <c r="J4" s="8" t="s">
        <v>222</v>
      </c>
      <c r="K4" s="8" t="s">
        <v>263</v>
      </c>
      <c r="L4" t="s">
        <v>328</v>
      </c>
    </row>
    <row r="5" spans="1:12" ht="15" customHeight="1" x14ac:dyDescent="0.25">
      <c r="A5" s="70" t="s">
        <v>344</v>
      </c>
      <c r="B5" s="10">
        <v>49883.6</v>
      </c>
      <c r="C5" s="10">
        <v>1369742</v>
      </c>
      <c r="D5" s="10">
        <v>0</v>
      </c>
      <c r="E5" s="10">
        <v>1426673.1176</v>
      </c>
      <c r="F5" s="50">
        <v>7047.5175999999992</v>
      </c>
      <c r="G5" s="50">
        <v>5.2222402039243576</v>
      </c>
      <c r="H5" s="51">
        <v>1.6517920427420691E-2</v>
      </c>
      <c r="I5" s="10">
        <v>42.89</v>
      </c>
      <c r="J5" s="50">
        <v>453.38999999999942</v>
      </c>
      <c r="K5" s="50">
        <v>0.34784376606338613</v>
      </c>
      <c r="L5" s="54">
        <v>202508</v>
      </c>
    </row>
    <row r="6" spans="1:12" ht="15" customHeight="1" x14ac:dyDescent="0.25">
      <c r="A6" s="71" t="s">
        <v>348</v>
      </c>
      <c r="B6" s="33">
        <v>1426673.1176</v>
      </c>
      <c r="C6" s="33">
        <v>0</v>
      </c>
      <c r="D6" s="33">
        <v>-1133920.54</v>
      </c>
      <c r="E6" s="33">
        <v>343199.26120000001</v>
      </c>
      <c r="F6" s="52">
        <v>50446.683600000048</v>
      </c>
      <c r="G6" s="52">
        <v>33.87547751111353</v>
      </c>
      <c r="H6" s="53">
        <v>0.12420866773805721</v>
      </c>
      <c r="I6" s="33">
        <v>40.559999999999995</v>
      </c>
      <c r="J6" s="52">
        <v>8657.5200000000186</v>
      </c>
      <c r="K6" s="52">
        <v>8657.5200000000186</v>
      </c>
      <c r="L6" s="54">
        <v>202509</v>
      </c>
    </row>
    <row r="7" spans="1:12" ht="15" customHeight="1" x14ac:dyDescent="0.25">
      <c r="A7" s="70" t="s">
        <v>349</v>
      </c>
      <c r="B7" s="10">
        <v>343199.26120000001</v>
      </c>
      <c r="C7" s="10">
        <v>0</v>
      </c>
      <c r="D7" s="10">
        <v>0</v>
      </c>
      <c r="E7" s="10">
        <v>376481.13510000001</v>
      </c>
      <c r="F7" s="50">
        <v>33281.873900000006</v>
      </c>
      <c r="G7" s="50">
        <v>22.56520618067421</v>
      </c>
      <c r="H7" s="51">
        <v>9.6975365808275829E-2</v>
      </c>
      <c r="I7" s="10">
        <v>44.38</v>
      </c>
      <c r="J7" s="10">
        <v>0</v>
      </c>
      <c r="K7" s="10">
        <v>0</v>
      </c>
      <c r="L7" s="54">
        <v>202510</v>
      </c>
    </row>
    <row r="8" spans="1:12" ht="15" customHeight="1" x14ac:dyDescent="0.25">
      <c r="A8" s="71" t="s">
        <v>350</v>
      </c>
      <c r="B8" s="33">
        <v>376481.13510000001</v>
      </c>
      <c r="C8" s="33">
        <v>0</v>
      </c>
      <c r="D8" s="33">
        <v>0</v>
      </c>
      <c r="E8" s="33">
        <v>394484.90120000002</v>
      </c>
      <c r="F8" s="52">
        <v>18003.766100000008</v>
      </c>
      <c r="G8" s="52">
        <v>12.194368802492555</v>
      </c>
      <c r="H8" s="53">
        <v>4.7821163987985457E-2</v>
      </c>
      <c r="I8" s="33">
        <v>45.29</v>
      </c>
      <c r="J8" s="33">
        <v>0</v>
      </c>
      <c r="K8" s="33">
        <v>0</v>
      </c>
      <c r="L8" s="54">
        <v>202511</v>
      </c>
    </row>
    <row r="9" spans="1:12" ht="15" customHeight="1" x14ac:dyDescent="0.25">
      <c r="A9" s="70" t="s">
        <v>345</v>
      </c>
      <c r="B9" s="10">
        <v>394484.90120000002</v>
      </c>
      <c r="C9" s="10">
        <v>0</v>
      </c>
      <c r="D9" s="10">
        <v>0</v>
      </c>
      <c r="E9" s="10">
        <v>395737.79710000003</v>
      </c>
      <c r="F9" s="50">
        <v>1252.8959000000032</v>
      </c>
      <c r="G9" s="50">
        <v>0.84628824824716853</v>
      </c>
      <c r="H9" s="51">
        <v>3.1760300487769419E-3</v>
      </c>
      <c r="I9" s="10">
        <v>45.43</v>
      </c>
      <c r="J9" s="10">
        <v>0</v>
      </c>
      <c r="K9" s="10">
        <v>0</v>
      </c>
      <c r="L9" s="54">
        <v>202512</v>
      </c>
    </row>
    <row r="10" spans="1:12" ht="15" customHeight="1" x14ac:dyDescent="0.25">
      <c r="A10" s="71" t="s">
        <v>346</v>
      </c>
      <c r="B10" s="33">
        <v>395737.79710000003</v>
      </c>
      <c r="C10" s="33">
        <v>0</v>
      </c>
      <c r="D10" s="33">
        <v>-162061.23000000001</v>
      </c>
      <c r="E10" s="33">
        <v>242836.71</v>
      </c>
      <c r="F10" s="52">
        <v>9160.1428999999771</v>
      </c>
      <c r="G10" s="52">
        <v>6.2537244580986364</v>
      </c>
      <c r="H10" s="53">
        <v>2.7443443586890309E-2</v>
      </c>
      <c r="I10" s="33">
        <v>29.749999999999993</v>
      </c>
      <c r="J10" s="52">
        <v>19391.335599999984</v>
      </c>
      <c r="K10" s="52">
        <v>13.252452299400034</v>
      </c>
      <c r="L10" s="54">
        <v>202601</v>
      </c>
    </row>
    <row r="11" spans="1:12" ht="15" customHeight="1" x14ac:dyDescent="0.25">
      <c r="A11" s="70" t="s">
        <v>351</v>
      </c>
      <c r="B11" s="10">
        <v>242836.71</v>
      </c>
      <c r="C11" s="10">
        <v>0</v>
      </c>
      <c r="D11" s="10">
        <v>0</v>
      </c>
      <c r="E11" s="10">
        <v>231031.36970000001</v>
      </c>
      <c r="F11" s="13">
        <v>-11805.340299999982</v>
      </c>
      <c r="G11" s="13">
        <v>-8.2173267485243215</v>
      </c>
      <c r="H11" s="14">
        <v>-4.861431494439198E-2</v>
      </c>
      <c r="I11" s="10">
        <v>48.870000000000005</v>
      </c>
      <c r="J11" s="10">
        <v>0</v>
      </c>
      <c r="K11" s="10">
        <v>0</v>
      </c>
      <c r="L11" s="54">
        <v>202602</v>
      </c>
    </row>
    <row r="12" spans="1:12" ht="15" customHeight="1" x14ac:dyDescent="0.25">
      <c r="A12" s="71" t="s">
        <v>352</v>
      </c>
      <c r="B12" s="33">
        <v>231031.36970000001</v>
      </c>
      <c r="C12" s="33">
        <v>21340000</v>
      </c>
      <c r="D12" s="33">
        <v>0</v>
      </c>
      <c r="E12" s="33">
        <v>21334611.7962</v>
      </c>
      <c r="F12" s="36">
        <v>-236419.57350000026</v>
      </c>
      <c r="G12" s="36">
        <v>-166.24446143785354</v>
      </c>
      <c r="H12" s="37">
        <v>-0.14704487837592847</v>
      </c>
      <c r="I12" s="33">
        <v>45.78</v>
      </c>
      <c r="J12" s="36">
        <v>-79412.529499998782</v>
      </c>
      <c r="K12" s="36">
        <v>-55.486245544602426</v>
      </c>
      <c r="L12" s="54">
        <v>202603</v>
      </c>
    </row>
    <row r="13" spans="1:12" ht="15" customHeight="1" x14ac:dyDescent="0.25">
      <c r="A13" s="70" t="s">
        <v>347</v>
      </c>
      <c r="B13" s="10">
        <v>21334611.7962</v>
      </c>
      <c r="C13" s="10">
        <v>3000</v>
      </c>
      <c r="D13" s="10">
        <v>0</v>
      </c>
      <c r="E13" s="10">
        <v>22008885.699200001</v>
      </c>
      <c r="F13" s="50">
        <v>671273.90300000086</v>
      </c>
      <c r="G13" s="50">
        <v>463.28939493281308</v>
      </c>
      <c r="H13" s="51">
        <v>3.1461227622594158E-2</v>
      </c>
      <c r="I13" s="10">
        <v>51.9</v>
      </c>
      <c r="J13" s="10">
        <v>0</v>
      </c>
      <c r="K13" s="10">
        <v>0</v>
      </c>
      <c r="L13" s="54">
        <v>202604</v>
      </c>
    </row>
    <row r="14" spans="1:12" ht="15" customHeight="1" x14ac:dyDescent="0.25">
      <c r="A14" s="71" t="s">
        <v>353</v>
      </c>
      <c r="B14" s="33">
        <v>22008885.699200001</v>
      </c>
      <c r="C14" s="33">
        <v>0</v>
      </c>
      <c r="D14" s="33">
        <v>-5003660.67</v>
      </c>
      <c r="E14" s="33">
        <v>16745034.7348</v>
      </c>
      <c r="F14" s="36">
        <v>-260190.29440000094</v>
      </c>
      <c r="G14" s="36">
        <v>-181.9907073561408</v>
      </c>
      <c r="H14" s="37">
        <v>-1.4476187392412725E-2</v>
      </c>
      <c r="I14" s="33">
        <v>186.31</v>
      </c>
      <c r="J14" s="36">
        <v>-1533.8129000002518</v>
      </c>
      <c r="K14" s="36">
        <v>-1.0227890042607655</v>
      </c>
      <c r="L14" s="54">
        <v>202605</v>
      </c>
    </row>
    <row r="16" spans="1:12" x14ac:dyDescent="0.25">
      <c r="A16" s="98" t="s">
        <v>282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</row>
    <row r="17" spans="1:11" ht="15" customHeight="1" x14ac:dyDescent="0.25">
      <c r="A17" s="99" t="s">
        <v>283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1:11" ht="15" customHeight="1" x14ac:dyDescent="0.25">
      <c r="A18" s="99" t="s">
        <v>284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1:11" ht="15" customHeight="1" x14ac:dyDescent="0.25">
      <c r="A19" s="99" t="s">
        <v>285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</row>
  </sheetData>
  <mergeCells count="5">
    <mergeCell ref="A18:K18"/>
    <mergeCell ref="A19:K19"/>
    <mergeCell ref="A16:K16"/>
    <mergeCell ref="A17:K17"/>
    <mergeCell ref="A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9463-8C6C-47DA-9E9C-39F3D1A62481}">
  <sheetPr codeName="Hoja20">
    <tabColor rgb="FFD9E3F0"/>
  </sheetPr>
  <dimension ref="A1:L11"/>
  <sheetViews>
    <sheetView showGridLines="0" workbookViewId="0">
      <selection sqref="A1:K2"/>
    </sheetView>
  </sheetViews>
  <sheetFormatPr defaultColWidth="11.42578125" defaultRowHeight="15" x14ac:dyDescent="0.25"/>
  <cols>
    <col min="1" max="1" width="12.7109375" customWidth="1"/>
    <col min="2" max="11" width="16.7109375" customWidth="1"/>
    <col min="12" max="12" width="11.42578125" hidden="1" customWidth="1"/>
    <col min="13" max="16384" width="11.42578125" style="15"/>
  </cols>
  <sheetData>
    <row r="1" spans="1:12" ht="30" customHeight="1" x14ac:dyDescent="0.25">
      <c r="A1" s="82" t="s">
        <v>339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2" ht="30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2" ht="8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2" ht="36" customHeight="1" x14ac:dyDescent="0.25">
      <c r="A4" s="8" t="s">
        <v>289</v>
      </c>
      <c r="B4" s="8" t="s">
        <v>265</v>
      </c>
      <c r="C4" s="8" t="s">
        <v>267</v>
      </c>
      <c r="D4" s="8" t="s">
        <v>268</v>
      </c>
      <c r="E4" s="8" t="s">
        <v>266</v>
      </c>
      <c r="F4" s="8" t="s">
        <v>270</v>
      </c>
      <c r="G4" s="8" t="s">
        <v>271</v>
      </c>
      <c r="H4" s="8" t="s">
        <v>272</v>
      </c>
      <c r="I4" s="8" t="s">
        <v>269</v>
      </c>
      <c r="J4" s="8" t="s">
        <v>222</v>
      </c>
      <c r="K4" s="8" t="s">
        <v>263</v>
      </c>
      <c r="L4" t="s">
        <v>328</v>
      </c>
    </row>
    <row r="5" spans="1:12" ht="15" customHeight="1" x14ac:dyDescent="0.25">
      <c r="A5" s="55">
        <v>2025</v>
      </c>
      <c r="B5" s="10">
        <v>49883.6</v>
      </c>
      <c r="C5" s="10">
        <v>1419742</v>
      </c>
      <c r="D5" s="10">
        <v>-1133920.54</v>
      </c>
      <c r="E5" s="10">
        <v>395737.79710000003</v>
      </c>
      <c r="F5" s="50">
        <v>60032.737100000064</v>
      </c>
      <c r="G5" s="50">
        <v>40.550056806668238</v>
      </c>
      <c r="H5" s="51">
        <v>0.31410690053934731</v>
      </c>
      <c r="I5" s="10">
        <v>218.54999999999995</v>
      </c>
      <c r="J5" s="50">
        <v>9110.910000000018</v>
      </c>
      <c r="K5" s="50">
        <v>8657.8678437660819</v>
      </c>
      <c r="L5" s="54">
        <v>2025</v>
      </c>
    </row>
    <row r="6" spans="1:12" ht="15" customHeight="1" x14ac:dyDescent="0.25">
      <c r="A6" s="56">
        <v>2026</v>
      </c>
      <c r="B6" s="33">
        <v>395737.79710000003</v>
      </c>
      <c r="C6" s="33">
        <v>21343000</v>
      </c>
      <c r="D6" s="33">
        <v>-5165721.9000000004</v>
      </c>
      <c r="E6" s="33">
        <v>16745034.7348</v>
      </c>
      <c r="F6" s="52">
        <v>172018.83770000009</v>
      </c>
      <c r="G6" s="52">
        <v>120.31897663129776</v>
      </c>
      <c r="H6" s="53">
        <v>1.3068365676204724E-2</v>
      </c>
      <c r="I6" s="33">
        <v>362.61</v>
      </c>
      <c r="J6" s="36">
        <v>-61555.00679999905</v>
      </c>
      <c r="K6" s="36">
        <v>-43.256582249463158</v>
      </c>
      <c r="L6" s="54">
        <v>2026</v>
      </c>
    </row>
    <row r="8" spans="1:12" x14ac:dyDescent="0.25">
      <c r="A8" s="98" t="s">
        <v>282</v>
      </c>
      <c r="B8" s="98"/>
      <c r="C8" s="98"/>
      <c r="D8" s="98"/>
      <c r="E8" s="98"/>
      <c r="F8" s="98"/>
      <c r="G8" s="98"/>
      <c r="H8" s="98"/>
      <c r="I8" s="98"/>
      <c r="J8" s="98"/>
      <c r="K8" s="98"/>
    </row>
    <row r="9" spans="1:12" ht="15" customHeight="1" x14ac:dyDescent="0.25">
      <c r="A9" s="99" t="s">
        <v>290</v>
      </c>
      <c r="B9" s="99"/>
      <c r="C9" s="99"/>
      <c r="D9" s="99"/>
      <c r="E9" s="99"/>
      <c r="F9" s="99"/>
      <c r="G9" s="99"/>
      <c r="H9" s="99"/>
      <c r="I9" s="99"/>
      <c r="J9" s="99"/>
      <c r="K9" s="99"/>
    </row>
    <row r="10" spans="1:12" ht="15" customHeight="1" x14ac:dyDescent="0.25">
      <c r="A10" s="99" t="s">
        <v>291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</row>
    <row r="11" spans="1:12" ht="15" customHeight="1" x14ac:dyDescent="0.25">
      <c r="A11" s="99" t="s">
        <v>285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</row>
  </sheetData>
  <mergeCells count="5">
    <mergeCell ref="A10:K10"/>
    <mergeCell ref="A11:K11"/>
    <mergeCell ref="A8:K8"/>
    <mergeCell ref="A9:K9"/>
    <mergeCell ref="A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6E829B"/>
  </sheetPr>
  <dimension ref="A1:O13"/>
  <sheetViews>
    <sheetView showGridLines="0" zoomScaleNormal="100" workbookViewId="0">
      <pane ySplit="2" topLeftCell="A3" activePane="bottomLeft" state="frozen"/>
      <selection sqref="A1:K1"/>
      <selection pane="bottomLeft" sqref="A1:N2"/>
    </sheetView>
  </sheetViews>
  <sheetFormatPr defaultColWidth="8.7109375" defaultRowHeight="15" x14ac:dyDescent="0.25"/>
  <cols>
    <col min="1" max="1" width="11.5703125" bestFit="1" customWidth="1"/>
    <col min="2" max="2" width="10.5703125" bestFit="1" customWidth="1"/>
    <col min="3" max="3" width="8.28515625" bestFit="1" customWidth="1"/>
    <col min="4" max="4" width="9.28515625" bestFit="1" customWidth="1"/>
    <col min="5" max="5" width="8.140625" bestFit="1" customWidth="1"/>
    <col min="6" max="6" width="13.7109375" bestFit="1" customWidth="1"/>
    <col min="7" max="7" width="15" bestFit="1" customWidth="1"/>
    <col min="8" max="8" width="12" bestFit="1" customWidth="1"/>
    <col min="9" max="9" width="12.5703125" bestFit="1" customWidth="1"/>
    <col min="10" max="10" width="14.85546875" bestFit="1" customWidth="1"/>
    <col min="11" max="11" width="18.85546875" bestFit="1" customWidth="1"/>
    <col min="12" max="12" width="13.140625" bestFit="1" customWidth="1"/>
    <col min="13" max="13" width="11" bestFit="1" customWidth="1"/>
    <col min="14" max="14" width="21.7109375" bestFit="1" customWidth="1"/>
    <col min="15" max="15" width="8.7109375" hidden="1" customWidth="1"/>
    <col min="16" max="16384" width="8.7109375" style="15"/>
  </cols>
  <sheetData>
    <row r="1" spans="1:15" ht="30" customHeight="1" x14ac:dyDescent="0.25">
      <c r="A1" s="82" t="s">
        <v>340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 ht="30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</row>
    <row r="3" spans="1:15" ht="8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5" ht="36" customHeight="1" x14ac:dyDescent="0.25">
      <c r="A4" s="18" t="s">
        <v>239</v>
      </c>
      <c r="B4" s="18" t="s">
        <v>240</v>
      </c>
      <c r="C4" s="18" t="s">
        <v>2</v>
      </c>
      <c r="D4" s="18" t="s">
        <v>3</v>
      </c>
      <c r="E4" s="18" t="s">
        <v>14</v>
      </c>
      <c r="F4" s="18" t="s">
        <v>241</v>
      </c>
      <c r="G4" s="18" t="s">
        <v>262</v>
      </c>
      <c r="H4" s="18" t="s">
        <v>242</v>
      </c>
      <c r="I4" s="18" t="s">
        <v>221</v>
      </c>
      <c r="J4" s="18" t="s">
        <v>222</v>
      </c>
      <c r="K4" s="18" t="s">
        <v>263</v>
      </c>
      <c r="L4" s="18" t="s">
        <v>223</v>
      </c>
      <c r="M4" s="18" t="s">
        <v>224</v>
      </c>
      <c r="N4" s="18" t="s">
        <v>15</v>
      </c>
      <c r="O4" t="s">
        <v>328</v>
      </c>
    </row>
    <row r="5" spans="1:15" ht="15" customHeight="1" x14ac:dyDescent="0.25">
      <c r="A5" s="29">
        <v>45887</v>
      </c>
      <c r="B5" s="9" t="s">
        <v>243</v>
      </c>
      <c r="C5" s="9" t="s">
        <v>57</v>
      </c>
      <c r="D5" s="9" t="s">
        <v>58</v>
      </c>
      <c r="E5" s="9" t="s">
        <v>25</v>
      </c>
      <c r="F5" s="11">
        <v>16794</v>
      </c>
      <c r="G5" s="10">
        <v>24652.58</v>
      </c>
      <c r="H5" s="10">
        <v>24652.58</v>
      </c>
      <c r="I5" s="10">
        <v>24199.190000000002</v>
      </c>
      <c r="J5" s="50">
        <v>453.38999999999942</v>
      </c>
      <c r="K5" s="50">
        <v>0.34784376606338613</v>
      </c>
      <c r="L5" s="51">
        <v>1.8735751072659845E-2</v>
      </c>
      <c r="M5" s="9" t="s">
        <v>225</v>
      </c>
      <c r="N5" s="9"/>
      <c r="O5" s="54" t="s">
        <v>244</v>
      </c>
    </row>
    <row r="6" spans="1:15" ht="15" customHeight="1" x14ac:dyDescent="0.25">
      <c r="A6" s="31">
        <v>45903</v>
      </c>
      <c r="B6" s="32" t="s">
        <v>259</v>
      </c>
      <c r="C6" s="32" t="s">
        <v>281</v>
      </c>
      <c r="D6" s="32" t="s">
        <v>260</v>
      </c>
      <c r="E6" s="32" t="s">
        <v>25</v>
      </c>
      <c r="F6" s="35">
        <v>1125263.02</v>
      </c>
      <c r="G6" s="33">
        <v>1133920.54</v>
      </c>
      <c r="H6" s="33">
        <v>1133920.54</v>
      </c>
      <c r="I6" s="33">
        <v>1125263.02</v>
      </c>
      <c r="J6" s="52">
        <v>8657.5200000000186</v>
      </c>
      <c r="K6" s="52">
        <v>8657.5200000000186</v>
      </c>
      <c r="L6" s="53">
        <v>7.6937745630350661E-3</v>
      </c>
      <c r="M6" s="32" t="s">
        <v>225</v>
      </c>
      <c r="N6" s="32" t="s">
        <v>437</v>
      </c>
      <c r="O6" s="54" t="s">
        <v>438</v>
      </c>
    </row>
    <row r="7" spans="1:15" ht="15" customHeight="1" x14ac:dyDescent="0.25">
      <c r="A7" s="29">
        <v>46041</v>
      </c>
      <c r="B7" s="9" t="s">
        <v>245</v>
      </c>
      <c r="C7" s="9" t="s">
        <v>46</v>
      </c>
      <c r="D7" s="9" t="s">
        <v>34</v>
      </c>
      <c r="E7" s="9" t="s">
        <v>25</v>
      </c>
      <c r="F7" s="11">
        <v>10</v>
      </c>
      <c r="G7" s="10">
        <v>105056.17</v>
      </c>
      <c r="H7" s="10">
        <v>105056.17</v>
      </c>
      <c r="I7" s="10">
        <v>92233.310400000017</v>
      </c>
      <c r="J7" s="50">
        <v>12822.859599999982</v>
      </c>
      <c r="K7" s="50">
        <v>8.7596813881203559</v>
      </c>
      <c r="L7" s="51">
        <v>0.13902634031446387</v>
      </c>
      <c r="M7" s="9" t="s">
        <v>225</v>
      </c>
      <c r="N7" s="9"/>
      <c r="O7" s="54" t="s">
        <v>246</v>
      </c>
    </row>
    <row r="8" spans="1:15" ht="15" customHeight="1" x14ac:dyDescent="0.25">
      <c r="A8" s="31">
        <v>46043</v>
      </c>
      <c r="B8" s="32" t="s">
        <v>245</v>
      </c>
      <c r="C8" s="32" t="s">
        <v>44</v>
      </c>
      <c r="D8" s="32" t="s">
        <v>34</v>
      </c>
      <c r="E8" s="32" t="s">
        <v>25</v>
      </c>
      <c r="F8" s="35">
        <v>5</v>
      </c>
      <c r="G8" s="33">
        <v>56819.33</v>
      </c>
      <c r="H8" s="33">
        <v>56819.33</v>
      </c>
      <c r="I8" s="33">
        <v>50250.853999999999</v>
      </c>
      <c r="J8" s="52">
        <v>6568.4760000000024</v>
      </c>
      <c r="K8" s="52">
        <v>4.4927709112796785</v>
      </c>
      <c r="L8" s="53">
        <v>0.13071371881560465</v>
      </c>
      <c r="M8" s="32" t="s">
        <v>225</v>
      </c>
      <c r="N8" s="32"/>
      <c r="O8" s="54" t="s">
        <v>247</v>
      </c>
    </row>
    <row r="9" spans="1:15" ht="15" customHeight="1" x14ac:dyDescent="0.25">
      <c r="A9" s="29">
        <v>46111</v>
      </c>
      <c r="B9" s="9" t="s">
        <v>245</v>
      </c>
      <c r="C9" s="9" t="s">
        <v>41</v>
      </c>
      <c r="D9" s="9" t="s">
        <v>42</v>
      </c>
      <c r="E9" s="9" t="s">
        <v>85</v>
      </c>
      <c r="F9" s="11">
        <v>8026</v>
      </c>
      <c r="G9" s="10">
        <v>4679.6000000000004</v>
      </c>
      <c r="H9" s="10">
        <v>6937460.2040000008</v>
      </c>
      <c r="I9" s="10">
        <v>6998348.4699999997</v>
      </c>
      <c r="J9" s="13">
        <v>-60888.265999998897</v>
      </c>
      <c r="K9" s="13">
        <v>-42.460436541142883</v>
      </c>
      <c r="L9" s="14">
        <v>-8.7003764189522992E-3</v>
      </c>
      <c r="M9" s="9" t="s">
        <v>226</v>
      </c>
      <c r="N9" s="9"/>
      <c r="O9" s="54" t="s">
        <v>261</v>
      </c>
    </row>
    <row r="10" spans="1:15" ht="15" customHeight="1" x14ac:dyDescent="0.25">
      <c r="A10" s="31">
        <v>46112</v>
      </c>
      <c r="B10" s="32" t="s">
        <v>245</v>
      </c>
      <c r="C10" s="32" t="s">
        <v>41</v>
      </c>
      <c r="D10" s="32" t="s">
        <v>42</v>
      </c>
      <c r="E10" s="32" t="s">
        <v>85</v>
      </c>
      <c r="F10" s="35">
        <v>2314</v>
      </c>
      <c r="G10" s="33">
        <v>1349.43</v>
      </c>
      <c r="H10" s="33">
        <v>1989694.0521000002</v>
      </c>
      <c r="I10" s="33">
        <v>2008218.3156000001</v>
      </c>
      <c r="J10" s="36">
        <v>-18524.263499999885</v>
      </c>
      <c r="K10" s="36">
        <v>-13.025809003459543</v>
      </c>
      <c r="L10" s="37">
        <v>-9.2242279418039003E-3</v>
      </c>
      <c r="M10" s="32" t="s">
        <v>226</v>
      </c>
      <c r="N10" s="32"/>
      <c r="O10" s="54" t="s">
        <v>248</v>
      </c>
    </row>
    <row r="11" spans="1:15" ht="15" customHeight="1" x14ac:dyDescent="0.25">
      <c r="A11" s="29">
        <v>46148</v>
      </c>
      <c r="B11" s="9" t="s">
        <v>245</v>
      </c>
      <c r="C11" s="9" t="s">
        <v>250</v>
      </c>
      <c r="D11" s="9" t="s">
        <v>192</v>
      </c>
      <c r="E11" s="9" t="s">
        <v>81</v>
      </c>
      <c r="F11" s="11">
        <v>865.70117800000003</v>
      </c>
      <c r="G11" s="10">
        <v>999.82</v>
      </c>
      <c r="H11" s="10">
        <v>1425753.3182000001</v>
      </c>
      <c r="I11" s="10">
        <v>1410630</v>
      </c>
      <c r="J11" s="50">
        <v>15123.318200000096</v>
      </c>
      <c r="K11" s="50">
        <v>10.605338111233509</v>
      </c>
      <c r="L11" s="51">
        <v>1.0720967369189722E-2</v>
      </c>
      <c r="M11" s="9" t="s">
        <v>225</v>
      </c>
      <c r="N11" s="9"/>
      <c r="O11" s="54" t="s">
        <v>256</v>
      </c>
    </row>
    <row r="12" spans="1:15" ht="15" customHeight="1" x14ac:dyDescent="0.25">
      <c r="A12" s="31">
        <v>46148</v>
      </c>
      <c r="B12" s="32" t="s">
        <v>245</v>
      </c>
      <c r="C12" s="32" t="s">
        <v>251</v>
      </c>
      <c r="D12" s="32" t="s">
        <v>192</v>
      </c>
      <c r="E12" s="32" t="s">
        <v>81</v>
      </c>
      <c r="F12" s="35">
        <v>685.30795599999999</v>
      </c>
      <c r="G12" s="33">
        <v>998.05</v>
      </c>
      <c r="H12" s="33">
        <v>1423229.2804999999</v>
      </c>
      <c r="I12" s="33">
        <v>1410630</v>
      </c>
      <c r="J12" s="52">
        <v>12599.280499999877</v>
      </c>
      <c r="K12" s="52">
        <v>8.8353381112333551</v>
      </c>
      <c r="L12" s="53">
        <v>8.9316691832726346E-3</v>
      </c>
      <c r="M12" s="32" t="s">
        <v>225</v>
      </c>
      <c r="N12" s="32"/>
      <c r="O12" s="54" t="s">
        <v>257</v>
      </c>
    </row>
    <row r="13" spans="1:15" ht="15" customHeight="1" x14ac:dyDescent="0.25">
      <c r="A13" s="29">
        <v>46149</v>
      </c>
      <c r="B13" s="9" t="s">
        <v>245</v>
      </c>
      <c r="C13" s="9" t="s">
        <v>41</v>
      </c>
      <c r="D13" s="9" t="s">
        <v>42</v>
      </c>
      <c r="E13" s="9" t="s">
        <v>25</v>
      </c>
      <c r="F13" s="11">
        <v>3103</v>
      </c>
      <c r="G13" s="10">
        <v>2829608.9</v>
      </c>
      <c r="H13" s="10">
        <v>2829608.9</v>
      </c>
      <c r="I13" s="10">
        <v>2858865.3116000001</v>
      </c>
      <c r="J13" s="13">
        <v>-29256.411600000225</v>
      </c>
      <c r="K13" s="13">
        <v>-20.463465226727628</v>
      </c>
      <c r="L13" s="14">
        <v>-1.0233574656802039E-2</v>
      </c>
      <c r="M13" s="9" t="s">
        <v>226</v>
      </c>
      <c r="N13" s="9"/>
      <c r="O13" s="54" t="s">
        <v>258</v>
      </c>
    </row>
  </sheetData>
  <mergeCells count="1">
    <mergeCell ref="A1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B4BECD"/>
  </sheetPr>
  <dimension ref="A1:O70"/>
  <sheetViews>
    <sheetView showGridLines="0" zoomScaleNormal="100" workbookViewId="0">
      <pane ySplit="2" topLeftCell="A3" activePane="bottomLeft" state="frozen"/>
      <selection activeCell="A3" sqref="A3"/>
      <selection pane="bottomLeft" activeCell="A3" sqref="A3:N30"/>
    </sheetView>
  </sheetViews>
  <sheetFormatPr defaultColWidth="8.7109375" defaultRowHeight="12" x14ac:dyDescent="0.2"/>
  <cols>
    <col min="1" max="1" width="8.28515625" style="1" bestFit="1" customWidth="1"/>
    <col min="2" max="2" width="8" style="1" bestFit="1" customWidth="1"/>
    <col min="3" max="3" width="10.7109375" style="1" bestFit="1" customWidth="1"/>
    <col min="4" max="4" width="33" style="1" bestFit="1" customWidth="1"/>
    <col min="5" max="5" width="11.85546875" style="1" bestFit="1" customWidth="1"/>
    <col min="6" max="7" width="11.5703125" style="1" bestFit="1" customWidth="1"/>
    <col min="8" max="8" width="9.85546875" style="1" bestFit="1" customWidth="1"/>
    <col min="9" max="9" width="9.7109375" style="1" bestFit="1" customWidth="1"/>
    <col min="10" max="10" width="12.140625" style="1" bestFit="1" customWidth="1"/>
    <col min="11" max="11" width="11.28515625" style="1" bestFit="1" customWidth="1"/>
    <col min="12" max="12" width="9.28515625" style="1" bestFit="1" customWidth="1"/>
    <col min="13" max="13" width="10.42578125" style="1" bestFit="1" customWidth="1"/>
    <col min="14" max="14" width="8.140625" style="1" bestFit="1" customWidth="1"/>
    <col min="15" max="15" width="4.7109375" style="1" hidden="1" customWidth="1"/>
    <col min="16" max="16384" width="8.7109375" style="1"/>
  </cols>
  <sheetData>
    <row r="1" spans="1:15" ht="24" customHeight="1" x14ac:dyDescent="0.2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6"/>
    </row>
    <row r="2" spans="1:15" ht="27.95" customHeight="1" x14ac:dyDescent="0.2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87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/>
    </row>
    <row r="3" spans="1:15" x14ac:dyDescent="0.2">
      <c r="A3" s="55" t="s">
        <v>378</v>
      </c>
      <c r="B3" s="9" t="s">
        <v>60</v>
      </c>
      <c r="C3" s="9" t="s">
        <v>53</v>
      </c>
      <c r="D3" s="9" t="s">
        <v>61</v>
      </c>
      <c r="E3" s="9" t="s">
        <v>80</v>
      </c>
      <c r="F3" s="29">
        <v>45870</v>
      </c>
      <c r="G3" s="29">
        <v>45870</v>
      </c>
      <c r="H3" s="10">
        <v>2</v>
      </c>
      <c r="I3" s="11">
        <v>6730</v>
      </c>
      <c r="J3" s="10">
        <v>13460</v>
      </c>
      <c r="K3" s="10">
        <v>11.4</v>
      </c>
      <c r="L3" s="10">
        <v>81.430000000000007</v>
      </c>
      <c r="M3" s="10">
        <v>13552.83</v>
      </c>
      <c r="N3" s="9" t="s">
        <v>25</v>
      </c>
      <c r="O3" s="40"/>
    </row>
    <row r="4" spans="1:15" x14ac:dyDescent="0.2">
      <c r="A4" s="56" t="s">
        <v>379</v>
      </c>
      <c r="B4" s="32" t="s">
        <v>57</v>
      </c>
      <c r="C4" s="32" t="s">
        <v>58</v>
      </c>
      <c r="D4" s="32" t="s">
        <v>59</v>
      </c>
      <c r="E4" s="32" t="s">
        <v>80</v>
      </c>
      <c r="F4" s="31">
        <v>45870</v>
      </c>
      <c r="G4" s="31">
        <v>45870</v>
      </c>
      <c r="H4" s="33">
        <v>3138</v>
      </c>
      <c r="I4" s="35">
        <v>1.4390000000000001</v>
      </c>
      <c r="J4" s="33">
        <v>4515.58</v>
      </c>
      <c r="K4" s="33">
        <v>0.05</v>
      </c>
      <c r="L4" s="33">
        <v>4.5199999999999996</v>
      </c>
      <c r="M4" s="33">
        <v>4520.1499999999996</v>
      </c>
      <c r="N4" s="32" t="s">
        <v>25</v>
      </c>
      <c r="O4" s="41"/>
    </row>
    <row r="5" spans="1:15" x14ac:dyDescent="0.2">
      <c r="A5" s="55" t="s">
        <v>379</v>
      </c>
      <c r="B5" s="9" t="s">
        <v>57</v>
      </c>
      <c r="C5" s="9" t="s">
        <v>58</v>
      </c>
      <c r="D5" s="9" t="s">
        <v>59</v>
      </c>
      <c r="E5" s="9" t="s">
        <v>80</v>
      </c>
      <c r="F5" s="29">
        <v>45870</v>
      </c>
      <c r="G5" s="29">
        <v>45870</v>
      </c>
      <c r="H5" s="10">
        <v>13656</v>
      </c>
      <c r="I5" s="11">
        <v>1.4396</v>
      </c>
      <c r="J5" s="10">
        <v>19659.18</v>
      </c>
      <c r="K5" s="10">
        <v>0.2</v>
      </c>
      <c r="L5" s="10">
        <v>19.66</v>
      </c>
      <c r="M5" s="10">
        <v>19679.04</v>
      </c>
      <c r="N5" s="9" t="s">
        <v>25</v>
      </c>
      <c r="O5" s="40"/>
    </row>
    <row r="6" spans="1:15" x14ac:dyDescent="0.2">
      <c r="A6" s="56" t="s">
        <v>377</v>
      </c>
      <c r="B6" s="32" t="s">
        <v>55</v>
      </c>
      <c r="C6" s="32" t="s">
        <v>53</v>
      </c>
      <c r="D6" s="32" t="s">
        <v>56</v>
      </c>
      <c r="E6" s="32" t="s">
        <v>80</v>
      </c>
      <c r="F6" s="31">
        <v>45870</v>
      </c>
      <c r="G6" s="31">
        <v>45870</v>
      </c>
      <c r="H6" s="33">
        <v>3</v>
      </c>
      <c r="I6" s="35">
        <v>4030</v>
      </c>
      <c r="J6" s="33">
        <v>12090</v>
      </c>
      <c r="K6" s="33">
        <v>10.24</v>
      </c>
      <c r="L6" s="33">
        <v>73.14</v>
      </c>
      <c r="M6" s="33">
        <v>12173.38</v>
      </c>
      <c r="N6" s="32" t="s">
        <v>25</v>
      </c>
      <c r="O6" s="41"/>
    </row>
    <row r="7" spans="1:15" x14ac:dyDescent="0.2">
      <c r="A7" s="55" t="s">
        <v>380</v>
      </c>
      <c r="B7" s="9" t="s">
        <v>44</v>
      </c>
      <c r="C7" s="9" t="s">
        <v>34</v>
      </c>
      <c r="D7" s="9" t="s">
        <v>45</v>
      </c>
      <c r="E7" s="9" t="s">
        <v>80</v>
      </c>
      <c r="F7" s="29">
        <v>45874</v>
      </c>
      <c r="G7" s="29">
        <v>45875</v>
      </c>
      <c r="H7" s="10">
        <v>7</v>
      </c>
      <c r="I7" s="11">
        <v>7.43</v>
      </c>
      <c r="J7" s="10">
        <v>52.01</v>
      </c>
      <c r="K7" s="10">
        <v>59.91</v>
      </c>
      <c r="L7" s="10">
        <v>427.86</v>
      </c>
      <c r="M7" s="10">
        <v>52.37</v>
      </c>
      <c r="N7" s="9" t="s">
        <v>81</v>
      </c>
      <c r="O7" s="40"/>
    </row>
    <row r="8" spans="1:15" x14ac:dyDescent="0.2">
      <c r="A8" s="56" t="s">
        <v>382</v>
      </c>
      <c r="B8" s="32" t="s">
        <v>46</v>
      </c>
      <c r="C8" s="32" t="s">
        <v>34</v>
      </c>
      <c r="D8" s="32" t="s">
        <v>47</v>
      </c>
      <c r="E8" s="32" t="s">
        <v>80</v>
      </c>
      <c r="F8" s="31">
        <v>45877</v>
      </c>
      <c r="G8" s="31">
        <v>45877</v>
      </c>
      <c r="H8" s="33">
        <v>10</v>
      </c>
      <c r="I8" s="35">
        <v>6.9</v>
      </c>
      <c r="J8" s="33">
        <v>69</v>
      </c>
      <c r="K8" s="33">
        <v>77.52</v>
      </c>
      <c r="L8" s="33">
        <v>561.77499999999998</v>
      </c>
      <c r="M8" s="33">
        <v>69.48</v>
      </c>
      <c r="N8" s="32" t="s">
        <v>81</v>
      </c>
      <c r="O8" s="41"/>
    </row>
    <row r="9" spans="1:15" x14ac:dyDescent="0.2">
      <c r="A9" s="55" t="s">
        <v>381</v>
      </c>
      <c r="B9" s="9" t="s">
        <v>52</v>
      </c>
      <c r="C9" s="9" t="s">
        <v>53</v>
      </c>
      <c r="D9" s="9" t="s">
        <v>54</v>
      </c>
      <c r="E9" s="9" t="s">
        <v>80</v>
      </c>
      <c r="F9" s="29">
        <v>45877</v>
      </c>
      <c r="G9" s="29">
        <v>45877</v>
      </c>
      <c r="H9" s="10">
        <v>1</v>
      </c>
      <c r="I9" s="11">
        <v>34.450000000000003</v>
      </c>
      <c r="J9" s="10">
        <v>34.450000000000003</v>
      </c>
      <c r="K9" s="10">
        <v>38.71</v>
      </c>
      <c r="L9" s="10">
        <v>272.86500000000001</v>
      </c>
      <c r="M9" s="10">
        <v>34.68</v>
      </c>
      <c r="N9" s="9" t="s">
        <v>81</v>
      </c>
      <c r="O9" s="40"/>
    </row>
    <row r="10" spans="1:15" x14ac:dyDescent="0.2">
      <c r="A10" s="56" t="s">
        <v>383</v>
      </c>
      <c r="B10" s="32" t="s">
        <v>50</v>
      </c>
      <c r="C10" s="32" t="s">
        <v>34</v>
      </c>
      <c r="D10" s="32" t="s">
        <v>51</v>
      </c>
      <c r="E10" s="32" t="s">
        <v>80</v>
      </c>
      <c r="F10" s="31">
        <v>45881</v>
      </c>
      <c r="G10" s="31">
        <v>45881</v>
      </c>
      <c r="H10" s="33">
        <v>3</v>
      </c>
      <c r="I10" s="35">
        <v>11.7</v>
      </c>
      <c r="J10" s="33">
        <v>35.1</v>
      </c>
      <c r="K10" s="33">
        <v>39.299999999999997</v>
      </c>
      <c r="L10" s="33">
        <v>287.93</v>
      </c>
      <c r="M10" s="33">
        <v>35.35</v>
      </c>
      <c r="N10" s="32" t="s">
        <v>81</v>
      </c>
      <c r="O10" s="41"/>
    </row>
    <row r="11" spans="1:15" x14ac:dyDescent="0.2">
      <c r="A11" s="55" t="s">
        <v>380</v>
      </c>
      <c r="B11" s="9" t="s">
        <v>44</v>
      </c>
      <c r="C11" s="9" t="s">
        <v>34</v>
      </c>
      <c r="D11" s="9" t="s">
        <v>45</v>
      </c>
      <c r="E11" s="9" t="s">
        <v>80</v>
      </c>
      <c r="F11" s="29">
        <v>45882</v>
      </c>
      <c r="G11" s="29">
        <v>45882</v>
      </c>
      <c r="H11" s="10">
        <v>1</v>
      </c>
      <c r="I11" s="11">
        <v>7.56</v>
      </c>
      <c r="J11" s="10">
        <v>7.56</v>
      </c>
      <c r="K11" s="10">
        <v>8.44</v>
      </c>
      <c r="L11" s="10">
        <v>63.77</v>
      </c>
      <c r="M11" s="10">
        <v>7.61</v>
      </c>
      <c r="N11" s="9" t="s">
        <v>81</v>
      </c>
      <c r="O11" s="40"/>
    </row>
    <row r="12" spans="1:15" x14ac:dyDescent="0.2">
      <c r="A12" s="56" t="s">
        <v>385</v>
      </c>
      <c r="B12" s="32"/>
      <c r="C12" s="32"/>
      <c r="D12" s="32" t="s">
        <v>48</v>
      </c>
      <c r="E12" s="32" t="s">
        <v>83</v>
      </c>
      <c r="F12" s="31">
        <v>45897</v>
      </c>
      <c r="G12" s="31">
        <v>45903</v>
      </c>
      <c r="H12" s="33">
        <v>0</v>
      </c>
      <c r="I12" s="35">
        <v>49.5</v>
      </c>
      <c r="J12" s="33">
        <v>1134419.27</v>
      </c>
      <c r="K12" s="33">
        <v>41.18</v>
      </c>
      <c r="L12" s="33">
        <v>457.55</v>
      </c>
      <c r="M12" s="33">
        <v>1133920.54</v>
      </c>
      <c r="N12" s="32" t="s">
        <v>25</v>
      </c>
      <c r="O12" s="41"/>
    </row>
    <row r="13" spans="1:15" x14ac:dyDescent="0.2">
      <c r="A13" s="55" t="s">
        <v>384</v>
      </c>
      <c r="B13" s="9"/>
      <c r="C13" s="9"/>
      <c r="D13" s="9" t="s">
        <v>49</v>
      </c>
      <c r="E13" s="9" t="s">
        <v>82</v>
      </c>
      <c r="F13" s="29">
        <v>45897</v>
      </c>
      <c r="G13" s="29">
        <v>45897</v>
      </c>
      <c r="H13" s="10">
        <v>0</v>
      </c>
      <c r="I13" s="11"/>
      <c r="J13" s="10">
        <v>1125263.02</v>
      </c>
      <c r="K13" s="10">
        <v>0</v>
      </c>
      <c r="L13" s="10">
        <v>0</v>
      </c>
      <c r="M13" s="10">
        <v>1125263.02</v>
      </c>
      <c r="N13" s="9" t="s">
        <v>25</v>
      </c>
      <c r="O13" s="40"/>
    </row>
    <row r="14" spans="1:15" x14ac:dyDescent="0.2">
      <c r="A14" s="56" t="s">
        <v>382</v>
      </c>
      <c r="B14" s="32" t="s">
        <v>46</v>
      </c>
      <c r="C14" s="32" t="s">
        <v>34</v>
      </c>
      <c r="D14" s="32" t="s">
        <v>47</v>
      </c>
      <c r="E14" s="32" t="s">
        <v>84</v>
      </c>
      <c r="F14" s="31">
        <v>46041</v>
      </c>
      <c r="G14" s="31">
        <v>46041</v>
      </c>
      <c r="H14" s="33">
        <v>10</v>
      </c>
      <c r="I14" s="35">
        <v>10576</v>
      </c>
      <c r="J14" s="33">
        <v>105760</v>
      </c>
      <c r="K14" s="33">
        <v>63.98</v>
      </c>
      <c r="L14" s="33">
        <v>639.85</v>
      </c>
      <c r="M14" s="33">
        <v>105056.17</v>
      </c>
      <c r="N14" s="32" t="s">
        <v>25</v>
      </c>
      <c r="O14" s="41"/>
    </row>
    <row r="15" spans="1:15" x14ac:dyDescent="0.2">
      <c r="A15" s="55" t="s">
        <v>380</v>
      </c>
      <c r="B15" s="9" t="s">
        <v>44</v>
      </c>
      <c r="C15" s="9" t="s">
        <v>34</v>
      </c>
      <c r="D15" s="9" t="s">
        <v>45</v>
      </c>
      <c r="E15" s="9" t="s">
        <v>84</v>
      </c>
      <c r="F15" s="29">
        <v>46043</v>
      </c>
      <c r="G15" s="29">
        <v>46044</v>
      </c>
      <c r="H15" s="10">
        <v>5</v>
      </c>
      <c r="I15" s="11">
        <v>11440</v>
      </c>
      <c r="J15" s="10">
        <v>57200</v>
      </c>
      <c r="K15" s="10">
        <v>34.61</v>
      </c>
      <c r="L15" s="10">
        <v>346.06</v>
      </c>
      <c r="M15" s="10">
        <v>56819.33</v>
      </c>
      <c r="N15" s="9" t="s">
        <v>25</v>
      </c>
      <c r="O15" s="40"/>
    </row>
    <row r="16" spans="1:15" x14ac:dyDescent="0.2">
      <c r="A16" s="56" t="s">
        <v>386</v>
      </c>
      <c r="B16" s="32" t="s">
        <v>41</v>
      </c>
      <c r="C16" s="32" t="s">
        <v>42</v>
      </c>
      <c r="D16" s="32" t="s">
        <v>43</v>
      </c>
      <c r="E16" s="32" t="s">
        <v>84</v>
      </c>
      <c r="F16" s="31">
        <v>46111</v>
      </c>
      <c r="G16" s="31">
        <v>46111</v>
      </c>
      <c r="H16" s="33">
        <v>8026</v>
      </c>
      <c r="I16" s="35">
        <v>0.58599999999999997</v>
      </c>
      <c r="J16" s="33">
        <v>4703.24</v>
      </c>
      <c r="K16" s="33">
        <v>162.56</v>
      </c>
      <c r="L16" s="33">
        <v>32516.400000000001</v>
      </c>
      <c r="M16" s="33">
        <v>4679.6000000000004</v>
      </c>
      <c r="N16" s="32" t="s">
        <v>85</v>
      </c>
      <c r="O16" s="41"/>
    </row>
    <row r="17" spans="1:15" x14ac:dyDescent="0.2">
      <c r="A17" s="55" t="s">
        <v>386</v>
      </c>
      <c r="B17" s="9" t="s">
        <v>41</v>
      </c>
      <c r="C17" s="9" t="s">
        <v>42</v>
      </c>
      <c r="D17" s="9" t="s">
        <v>43</v>
      </c>
      <c r="E17" s="9" t="s">
        <v>80</v>
      </c>
      <c r="F17" s="29">
        <v>46111</v>
      </c>
      <c r="G17" s="29">
        <v>46111</v>
      </c>
      <c r="H17" s="10">
        <v>8026</v>
      </c>
      <c r="I17" s="11">
        <v>867.6</v>
      </c>
      <c r="J17" s="10">
        <v>6963357.5999999996</v>
      </c>
      <c r="K17" s="10">
        <v>174.08</v>
      </c>
      <c r="L17" s="10">
        <v>34816.79</v>
      </c>
      <c r="M17" s="10">
        <v>6998348.4699999997</v>
      </c>
      <c r="N17" s="9" t="s">
        <v>25</v>
      </c>
      <c r="O17" s="40"/>
    </row>
    <row r="18" spans="1:15" x14ac:dyDescent="0.2">
      <c r="A18" s="56" t="s">
        <v>386</v>
      </c>
      <c r="B18" s="32" t="s">
        <v>41</v>
      </c>
      <c r="C18" s="32" t="s">
        <v>42</v>
      </c>
      <c r="D18" s="32" t="s">
        <v>43</v>
      </c>
      <c r="E18" s="32" t="s">
        <v>80</v>
      </c>
      <c r="F18" s="31">
        <v>46112</v>
      </c>
      <c r="G18" s="31">
        <v>46112</v>
      </c>
      <c r="H18" s="33">
        <v>2314</v>
      </c>
      <c r="I18" s="35">
        <v>0.60719999999999996</v>
      </c>
      <c r="J18" s="33">
        <v>1405.06</v>
      </c>
      <c r="K18" s="33">
        <v>49.11</v>
      </c>
      <c r="L18" s="33">
        <v>9827.94</v>
      </c>
      <c r="M18" s="33">
        <v>1412.13</v>
      </c>
      <c r="N18" s="32" t="s">
        <v>81</v>
      </c>
      <c r="O18" s="41"/>
    </row>
    <row r="19" spans="1:15" x14ac:dyDescent="0.2">
      <c r="A19" s="55" t="s">
        <v>386</v>
      </c>
      <c r="B19" s="9" t="s">
        <v>41</v>
      </c>
      <c r="C19" s="9" t="s">
        <v>42</v>
      </c>
      <c r="D19" s="9" t="s">
        <v>43</v>
      </c>
      <c r="E19" s="9" t="s">
        <v>84</v>
      </c>
      <c r="F19" s="29">
        <v>46112</v>
      </c>
      <c r="G19" s="29">
        <v>46112</v>
      </c>
      <c r="H19" s="10">
        <v>2314</v>
      </c>
      <c r="I19" s="11">
        <v>0.58609999999999995</v>
      </c>
      <c r="J19" s="10">
        <v>1356.24</v>
      </c>
      <c r="K19" s="10">
        <v>47.4</v>
      </c>
      <c r="L19" s="10">
        <v>9478.44</v>
      </c>
      <c r="M19" s="10">
        <v>1349.43</v>
      </c>
      <c r="N19" s="9" t="s">
        <v>85</v>
      </c>
      <c r="O19" s="40"/>
    </row>
    <row r="20" spans="1:15" x14ac:dyDescent="0.2">
      <c r="A20" s="56" t="s">
        <v>428</v>
      </c>
      <c r="B20" s="32" t="s">
        <v>38</v>
      </c>
      <c r="C20" s="32" t="s">
        <v>39</v>
      </c>
      <c r="D20" s="32" t="s">
        <v>40</v>
      </c>
      <c r="E20" s="32" t="s">
        <v>86</v>
      </c>
      <c r="F20" s="31">
        <v>46113</v>
      </c>
      <c r="G20" s="31">
        <v>46120</v>
      </c>
      <c r="H20" s="33">
        <v>6000</v>
      </c>
      <c r="I20" s="35">
        <v>1</v>
      </c>
      <c r="J20" s="33">
        <v>6000</v>
      </c>
      <c r="K20" s="33">
        <v>0</v>
      </c>
      <c r="L20" s="33">
        <v>41550</v>
      </c>
      <c r="M20" s="33">
        <v>6030</v>
      </c>
      <c r="N20" s="32" t="s">
        <v>85</v>
      </c>
      <c r="O20" s="41"/>
    </row>
    <row r="21" spans="1:15" x14ac:dyDescent="0.2">
      <c r="A21" s="55" t="s">
        <v>429</v>
      </c>
      <c r="B21" s="9" t="s">
        <v>36</v>
      </c>
      <c r="C21" s="9" t="s">
        <v>34</v>
      </c>
      <c r="D21" s="9" t="s">
        <v>37</v>
      </c>
      <c r="E21" s="9" t="s">
        <v>80</v>
      </c>
      <c r="F21" s="29">
        <v>46113</v>
      </c>
      <c r="G21" s="29">
        <v>46118</v>
      </c>
      <c r="H21" s="10">
        <v>42</v>
      </c>
      <c r="I21" s="11">
        <v>25.15</v>
      </c>
      <c r="J21" s="10">
        <v>1056.3</v>
      </c>
      <c r="K21" s="10">
        <v>883.18</v>
      </c>
      <c r="L21" s="10">
        <v>8829.32</v>
      </c>
      <c r="M21" s="10">
        <v>1063.33</v>
      </c>
      <c r="N21" s="9" t="s">
        <v>81</v>
      </c>
      <c r="O21" s="40"/>
    </row>
    <row r="22" spans="1:15" x14ac:dyDescent="0.2">
      <c r="A22" s="56" t="s">
        <v>430</v>
      </c>
      <c r="B22" s="32" t="s">
        <v>33</v>
      </c>
      <c r="C22" s="32" t="s">
        <v>34</v>
      </c>
      <c r="D22" s="32" t="s">
        <v>35</v>
      </c>
      <c r="E22" s="32" t="s">
        <v>80</v>
      </c>
      <c r="F22" s="31">
        <v>46122</v>
      </c>
      <c r="G22" s="31">
        <v>46122</v>
      </c>
      <c r="H22" s="33">
        <v>3</v>
      </c>
      <c r="I22" s="35">
        <v>15.38</v>
      </c>
      <c r="J22" s="33">
        <v>46.14</v>
      </c>
      <c r="K22" s="33">
        <v>38.549999999999997</v>
      </c>
      <c r="L22" s="33">
        <v>384.33</v>
      </c>
      <c r="M22" s="33">
        <v>46.45</v>
      </c>
      <c r="N22" s="32" t="s">
        <v>81</v>
      </c>
      <c r="O22" s="41"/>
    </row>
    <row r="23" spans="1:15" x14ac:dyDescent="0.2">
      <c r="A23" s="55" t="s">
        <v>430</v>
      </c>
      <c r="B23" s="9" t="s">
        <v>33</v>
      </c>
      <c r="C23" s="9" t="s">
        <v>34</v>
      </c>
      <c r="D23" s="9" t="s">
        <v>35</v>
      </c>
      <c r="E23" s="9" t="s">
        <v>80</v>
      </c>
      <c r="F23" s="29">
        <v>46126</v>
      </c>
      <c r="G23" s="29">
        <v>46126</v>
      </c>
      <c r="H23" s="10">
        <v>30</v>
      </c>
      <c r="I23" s="11">
        <v>16.16</v>
      </c>
      <c r="J23" s="10">
        <v>484.8</v>
      </c>
      <c r="K23" s="10">
        <v>397.13</v>
      </c>
      <c r="L23" s="10">
        <v>3964.78</v>
      </c>
      <c r="M23" s="10">
        <v>488.02</v>
      </c>
      <c r="N23" s="9" t="s">
        <v>81</v>
      </c>
      <c r="O23" s="40"/>
    </row>
    <row r="24" spans="1:15" x14ac:dyDescent="0.2">
      <c r="A24" s="32">
        <v>0</v>
      </c>
      <c r="B24" s="32" t="s">
        <v>250</v>
      </c>
      <c r="C24" s="32" t="s">
        <v>192</v>
      </c>
      <c r="D24" s="32" t="s">
        <v>432</v>
      </c>
      <c r="E24" s="32" t="s">
        <v>193</v>
      </c>
      <c r="F24" s="31">
        <v>46126</v>
      </c>
      <c r="G24" s="31">
        <v>46126</v>
      </c>
      <c r="H24" s="33">
        <v>865.70117800000003</v>
      </c>
      <c r="I24" s="35">
        <v>1.155133</v>
      </c>
      <c r="J24" s="33">
        <v>1000</v>
      </c>
      <c r="K24" s="33">
        <v>0</v>
      </c>
      <c r="L24" s="33">
        <v>0</v>
      </c>
      <c r="M24" s="33">
        <v>1000</v>
      </c>
      <c r="N24" s="32" t="s">
        <v>81</v>
      </c>
      <c r="O24" s="41" t="s">
        <v>254</v>
      </c>
    </row>
    <row r="25" spans="1:15" x14ac:dyDescent="0.2">
      <c r="A25" s="9">
        <v>0</v>
      </c>
      <c r="B25" s="9" t="s">
        <v>251</v>
      </c>
      <c r="C25" s="9" t="s">
        <v>192</v>
      </c>
      <c r="D25" s="9" t="s">
        <v>433</v>
      </c>
      <c r="E25" s="9" t="s">
        <v>193</v>
      </c>
      <c r="F25" s="29">
        <v>46126</v>
      </c>
      <c r="G25" s="29">
        <v>46126</v>
      </c>
      <c r="H25" s="10">
        <v>685.30795599999999</v>
      </c>
      <c r="I25" s="11">
        <v>1.459198</v>
      </c>
      <c r="J25" s="10">
        <v>1000</v>
      </c>
      <c r="K25" s="10">
        <v>0</v>
      </c>
      <c r="L25" s="10">
        <v>0</v>
      </c>
      <c r="M25" s="10">
        <v>1000</v>
      </c>
      <c r="N25" s="9" t="s">
        <v>81</v>
      </c>
      <c r="O25" s="40" t="s">
        <v>255</v>
      </c>
    </row>
    <row r="26" spans="1:15" x14ac:dyDescent="0.2">
      <c r="A26" s="32">
        <v>0</v>
      </c>
      <c r="B26" s="32" t="s">
        <v>250</v>
      </c>
      <c r="C26" s="32" t="s">
        <v>192</v>
      </c>
      <c r="D26" s="32" t="s">
        <v>434</v>
      </c>
      <c r="E26" s="32" t="s">
        <v>249</v>
      </c>
      <c r="F26" s="31">
        <v>46148</v>
      </c>
      <c r="G26" s="31">
        <v>46149</v>
      </c>
      <c r="H26" s="33">
        <v>865.703485</v>
      </c>
      <c r="I26" s="35">
        <v>1.154922</v>
      </c>
      <c r="J26" s="33">
        <v>999.82</v>
      </c>
      <c r="K26" s="33">
        <v>0</v>
      </c>
      <c r="L26" s="33">
        <v>0</v>
      </c>
      <c r="M26" s="33">
        <v>999.82</v>
      </c>
      <c r="N26" s="32" t="s">
        <v>81</v>
      </c>
      <c r="O26" s="41" t="s">
        <v>252</v>
      </c>
    </row>
    <row r="27" spans="1:15" x14ac:dyDescent="0.2">
      <c r="A27" s="9">
        <v>0</v>
      </c>
      <c r="B27" s="9" t="s">
        <v>251</v>
      </c>
      <c r="C27" s="9" t="s">
        <v>192</v>
      </c>
      <c r="D27" s="9" t="s">
        <v>435</v>
      </c>
      <c r="E27" s="9" t="s">
        <v>249</v>
      </c>
      <c r="F27" s="29">
        <v>46148</v>
      </c>
      <c r="G27" s="29">
        <v>46149</v>
      </c>
      <c r="H27" s="10">
        <v>685.31057499999997</v>
      </c>
      <c r="I27" s="11">
        <v>1.4563470000000001</v>
      </c>
      <c r="J27" s="10">
        <v>998.05</v>
      </c>
      <c r="K27" s="10">
        <v>0</v>
      </c>
      <c r="L27" s="10">
        <v>0</v>
      </c>
      <c r="M27" s="10">
        <v>998.05</v>
      </c>
      <c r="N27" s="9" t="s">
        <v>81</v>
      </c>
      <c r="O27" s="40" t="s">
        <v>253</v>
      </c>
    </row>
    <row r="28" spans="1:15" x14ac:dyDescent="0.2">
      <c r="A28" s="56" t="s">
        <v>386</v>
      </c>
      <c r="B28" s="32" t="s">
        <v>41</v>
      </c>
      <c r="C28" s="32" t="s">
        <v>42</v>
      </c>
      <c r="D28" s="32" t="s">
        <v>43</v>
      </c>
      <c r="E28" s="32" t="s">
        <v>80</v>
      </c>
      <c r="F28" s="31">
        <v>46149</v>
      </c>
      <c r="G28" s="31">
        <v>46149</v>
      </c>
      <c r="H28" s="33">
        <v>3103</v>
      </c>
      <c r="I28" s="35">
        <v>0.64119999999999999</v>
      </c>
      <c r="J28" s="33">
        <v>1989.64</v>
      </c>
      <c r="K28" s="33">
        <v>69.040000000000006</v>
      </c>
      <c r="L28" s="33">
        <v>13810.6</v>
      </c>
      <c r="M28" s="33">
        <v>1999.64</v>
      </c>
      <c r="N28" s="32" t="s">
        <v>81</v>
      </c>
      <c r="O28" s="41"/>
    </row>
    <row r="29" spans="1:15" x14ac:dyDescent="0.2">
      <c r="A29" s="55" t="s">
        <v>386</v>
      </c>
      <c r="B29" s="9" t="s">
        <v>41</v>
      </c>
      <c r="C29" s="9" t="s">
        <v>42</v>
      </c>
      <c r="D29" s="9" t="s">
        <v>43</v>
      </c>
      <c r="E29" s="9" t="s">
        <v>84</v>
      </c>
      <c r="F29" s="29">
        <v>46149</v>
      </c>
      <c r="G29" s="29">
        <v>46149</v>
      </c>
      <c r="H29" s="10">
        <v>3103</v>
      </c>
      <c r="I29" s="11">
        <v>916.5</v>
      </c>
      <c r="J29" s="10">
        <v>2843899.5</v>
      </c>
      <c r="K29" s="10">
        <v>71.099999999999994</v>
      </c>
      <c r="L29" s="10">
        <v>14219.5</v>
      </c>
      <c r="M29" s="10">
        <v>2829608.9</v>
      </c>
      <c r="N29" s="9" t="s">
        <v>25</v>
      </c>
      <c r="O29" s="40"/>
    </row>
    <row r="30" spans="1:15" x14ac:dyDescent="0.2">
      <c r="A30" s="32" t="s">
        <v>431</v>
      </c>
      <c r="B30" s="32" t="s">
        <v>227</v>
      </c>
      <c r="C30" s="32" t="s">
        <v>39</v>
      </c>
      <c r="D30" s="32" t="s">
        <v>228</v>
      </c>
      <c r="E30" s="32" t="s">
        <v>229</v>
      </c>
      <c r="F30" s="31">
        <v>46149</v>
      </c>
      <c r="G30" s="31">
        <v>46153</v>
      </c>
      <c r="H30" s="33">
        <v>2000</v>
      </c>
      <c r="I30" s="35">
        <v>1</v>
      </c>
      <c r="J30" s="33">
        <v>2000</v>
      </c>
      <c r="K30" s="33">
        <v>0</v>
      </c>
      <c r="L30" s="33">
        <v>13880</v>
      </c>
      <c r="M30" s="33">
        <v>2010</v>
      </c>
      <c r="N30" s="32" t="s">
        <v>81</v>
      </c>
      <c r="O30" s="41"/>
    </row>
    <row r="31" spans="1:15" ht="1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</sheetData>
  <sortState xmlns:xlrd2="http://schemas.microsoft.com/office/spreadsheetml/2017/richdata2" ref="A3:O30">
    <sortCondition ref="F3:F30"/>
  </sortState>
  <mergeCells count="1">
    <mergeCell ref="A1:N1"/>
  </mergeCells>
  <dataValidations count="3">
    <dataValidation type="list" allowBlank="1" sqref="C3:C23" xr:uid="{00000000-0002-0000-0000-000000000000}">
      <formula1>"Stock,CEDEAR,Bond,Corporate Bond,Mutual Fund,T-Bill,Cash,Other"</formula1>
      <formula2>0</formula2>
    </dataValidation>
    <dataValidation type="list" allowBlank="1" sqref="E3:E23" xr:uid="{00000000-0002-0000-0000-000001000000}">
      <formula1>"BUY,SELL,DIVIDEND,CAPITAL_INFLOW,CAUTION_OPEN,CAUTION_CLOSE,ADJUSTMENT"</formula1>
      <formula2>0</formula2>
    </dataValidation>
    <dataValidation type="list" allowBlank="1" sqref="N3:N23" xr:uid="{00000000-0002-0000-0000-000002000000}">
      <formula1>"ARS,USD,USD_CCL,USD_MEP"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B5A8-F81F-4B00-A935-0FD080B175ED}">
  <sheetPr codeName="Hoja7">
    <tabColor rgb="FFB4BECD"/>
  </sheetPr>
  <dimension ref="A1:H79"/>
  <sheetViews>
    <sheetView showGridLines="0" zoomScaleNormal="100" workbookViewId="0">
      <pane ySplit="2" topLeftCell="A3" activePane="bottomLeft" state="frozen"/>
      <selection activeCell="A3" sqref="A3"/>
      <selection pane="bottomLeft" activeCell="A3" sqref="A3"/>
    </sheetView>
  </sheetViews>
  <sheetFormatPr defaultColWidth="8.7109375" defaultRowHeight="12" x14ac:dyDescent="0.2"/>
  <cols>
    <col min="1" max="1" width="9" style="1" bestFit="1" customWidth="1"/>
    <col min="2" max="2" width="9.7109375" style="1" bestFit="1" customWidth="1"/>
    <col min="3" max="3" width="5.85546875" style="1" bestFit="1" customWidth="1"/>
    <col min="4" max="4" width="9.28515625" style="1" bestFit="1" customWidth="1"/>
    <col min="5" max="5" width="8.140625" style="1" bestFit="1" customWidth="1"/>
    <col min="6" max="6" width="9" style="1" bestFit="1" customWidth="1"/>
    <col min="7" max="7" width="7.85546875" style="1" bestFit="1" customWidth="1"/>
    <col min="8" max="8" width="8.7109375" style="1" hidden="1" customWidth="1"/>
    <col min="9" max="16384" width="8.7109375" style="1"/>
  </cols>
  <sheetData>
    <row r="1" spans="1:8" ht="24" customHeight="1" x14ac:dyDescent="0.2">
      <c r="A1" s="104" t="s">
        <v>180</v>
      </c>
      <c r="B1" s="104"/>
      <c r="C1" s="104"/>
      <c r="D1" s="104"/>
      <c r="E1" s="104"/>
      <c r="F1" s="104"/>
      <c r="G1" s="104"/>
      <c r="H1" s="17"/>
    </row>
    <row r="2" spans="1:8" ht="27.95" customHeight="1" x14ac:dyDescent="0.2">
      <c r="A2" s="18" t="s">
        <v>21</v>
      </c>
      <c r="B2" s="18" t="s">
        <v>5</v>
      </c>
      <c r="C2" s="18" t="s">
        <v>2</v>
      </c>
      <c r="D2" s="18" t="s">
        <v>3</v>
      </c>
      <c r="E2" s="18" t="s">
        <v>14</v>
      </c>
      <c r="F2" s="18" t="s">
        <v>8</v>
      </c>
      <c r="G2" s="18" t="s">
        <v>179</v>
      </c>
      <c r="H2" s="18"/>
    </row>
    <row r="3" spans="1:8" x14ac:dyDescent="0.2">
      <c r="A3" s="29">
        <v>45881</v>
      </c>
      <c r="B3" s="9" t="s">
        <v>184</v>
      </c>
      <c r="C3" s="9" t="s">
        <v>60</v>
      </c>
      <c r="D3" s="9" t="s">
        <v>53</v>
      </c>
      <c r="E3" s="9" t="s">
        <v>25</v>
      </c>
      <c r="F3" s="10">
        <v>0</v>
      </c>
      <c r="G3" s="50">
        <v>42.89</v>
      </c>
      <c r="H3" s="40" t="s">
        <v>103</v>
      </c>
    </row>
    <row r="4" spans="1:8" x14ac:dyDescent="0.2">
      <c r="A4" s="31">
        <v>45887</v>
      </c>
      <c r="B4" s="32" t="s">
        <v>185</v>
      </c>
      <c r="C4" s="32" t="s">
        <v>57</v>
      </c>
      <c r="D4" s="32" t="s">
        <v>58</v>
      </c>
      <c r="E4" s="32" t="s">
        <v>25</v>
      </c>
      <c r="F4" s="36">
        <v>-16794</v>
      </c>
      <c r="G4" s="52">
        <v>24652.58</v>
      </c>
      <c r="H4" s="41" t="s">
        <v>107</v>
      </c>
    </row>
    <row r="5" spans="1:8" x14ac:dyDescent="0.2">
      <c r="A5" s="29">
        <v>45910</v>
      </c>
      <c r="B5" s="9" t="s">
        <v>184</v>
      </c>
      <c r="C5" s="9" t="s">
        <v>46</v>
      </c>
      <c r="D5" s="9" t="s">
        <v>34</v>
      </c>
      <c r="E5" s="9" t="s">
        <v>186</v>
      </c>
      <c r="F5" s="10">
        <v>0</v>
      </c>
      <c r="G5" s="50">
        <v>0.46</v>
      </c>
      <c r="H5" s="40" t="s">
        <v>113</v>
      </c>
    </row>
    <row r="6" spans="1:8" x14ac:dyDescent="0.2">
      <c r="A6" s="31">
        <v>45910</v>
      </c>
      <c r="B6" s="32" t="s">
        <v>184</v>
      </c>
      <c r="C6" s="32" t="s">
        <v>46</v>
      </c>
      <c r="D6" s="32" t="s">
        <v>34</v>
      </c>
      <c r="E6" s="32" t="s">
        <v>25</v>
      </c>
      <c r="F6" s="33">
        <v>0</v>
      </c>
      <c r="G6" s="36">
        <v>-2.77</v>
      </c>
      <c r="H6" s="41" t="s">
        <v>112</v>
      </c>
    </row>
    <row r="7" spans="1:8" x14ac:dyDescent="0.2">
      <c r="A7" s="29">
        <v>45910</v>
      </c>
      <c r="B7" s="9" t="s">
        <v>184</v>
      </c>
      <c r="C7" s="9" t="s">
        <v>60</v>
      </c>
      <c r="D7" s="9" t="s">
        <v>53</v>
      </c>
      <c r="E7" s="9" t="s">
        <v>25</v>
      </c>
      <c r="F7" s="10">
        <v>0</v>
      </c>
      <c r="G7" s="50">
        <v>43.71</v>
      </c>
      <c r="H7" s="40" t="s">
        <v>114</v>
      </c>
    </row>
    <row r="8" spans="1:8" x14ac:dyDescent="0.2">
      <c r="A8" s="31">
        <v>45916</v>
      </c>
      <c r="B8" s="32" t="s">
        <v>184</v>
      </c>
      <c r="C8" s="32" t="s">
        <v>50</v>
      </c>
      <c r="D8" s="32" t="s">
        <v>34</v>
      </c>
      <c r="E8" s="32" t="s">
        <v>25</v>
      </c>
      <c r="F8" s="33">
        <v>0</v>
      </c>
      <c r="G8" s="36">
        <v>-1</v>
      </c>
      <c r="H8" s="41" t="s">
        <v>117</v>
      </c>
    </row>
    <row r="9" spans="1:8" x14ac:dyDescent="0.2">
      <c r="A9" s="29">
        <v>45916</v>
      </c>
      <c r="B9" s="9" t="s">
        <v>184</v>
      </c>
      <c r="C9" s="9" t="s">
        <v>50</v>
      </c>
      <c r="D9" s="9" t="s">
        <v>34</v>
      </c>
      <c r="E9" s="9" t="s">
        <v>186</v>
      </c>
      <c r="F9" s="10">
        <v>0</v>
      </c>
      <c r="G9" s="50">
        <v>0.16</v>
      </c>
      <c r="H9" s="40" t="s">
        <v>116</v>
      </c>
    </row>
    <row r="10" spans="1:8" x14ac:dyDescent="0.2">
      <c r="A10" s="31">
        <v>45933</v>
      </c>
      <c r="B10" s="32" t="s">
        <v>184</v>
      </c>
      <c r="C10" s="32" t="s">
        <v>44</v>
      </c>
      <c r="D10" s="32" t="s">
        <v>34</v>
      </c>
      <c r="E10" s="32"/>
      <c r="F10" s="33">
        <v>0</v>
      </c>
      <c r="G10" s="33">
        <v>0</v>
      </c>
      <c r="H10" s="41" t="s">
        <v>187</v>
      </c>
    </row>
    <row r="11" spans="1:8" x14ac:dyDescent="0.2">
      <c r="A11" s="29">
        <v>45943</v>
      </c>
      <c r="B11" s="9" t="s">
        <v>184</v>
      </c>
      <c r="C11" s="9" t="s">
        <v>46</v>
      </c>
      <c r="D11" s="9" t="s">
        <v>34</v>
      </c>
      <c r="E11" s="9" t="s">
        <v>186</v>
      </c>
      <c r="F11" s="10">
        <v>0</v>
      </c>
      <c r="G11" s="50">
        <v>0.03</v>
      </c>
      <c r="H11" s="40" t="s">
        <v>119</v>
      </c>
    </row>
    <row r="12" spans="1:8" x14ac:dyDescent="0.2">
      <c r="A12" s="31">
        <v>45943</v>
      </c>
      <c r="B12" s="32" t="s">
        <v>184</v>
      </c>
      <c r="C12" s="32" t="s">
        <v>46</v>
      </c>
      <c r="D12" s="32" t="s">
        <v>34</v>
      </c>
      <c r="E12" s="32" t="s">
        <v>25</v>
      </c>
      <c r="F12" s="33">
        <v>0</v>
      </c>
      <c r="G12" s="36">
        <v>-0.18</v>
      </c>
      <c r="H12" s="41" t="s">
        <v>118</v>
      </c>
    </row>
    <row r="13" spans="1:8" x14ac:dyDescent="0.2">
      <c r="A13" s="29">
        <v>45943</v>
      </c>
      <c r="B13" s="9" t="s">
        <v>184</v>
      </c>
      <c r="C13" s="9" t="s">
        <v>60</v>
      </c>
      <c r="D13" s="9" t="s">
        <v>53</v>
      </c>
      <c r="E13" s="9" t="s">
        <v>25</v>
      </c>
      <c r="F13" s="10">
        <v>0</v>
      </c>
      <c r="G13" s="50">
        <v>44.53</v>
      </c>
      <c r="H13" s="40" t="s">
        <v>120</v>
      </c>
    </row>
    <row r="14" spans="1:8" x14ac:dyDescent="0.2">
      <c r="A14" s="31">
        <v>45973</v>
      </c>
      <c r="B14" s="32" t="s">
        <v>184</v>
      </c>
      <c r="C14" s="32" t="s">
        <v>60</v>
      </c>
      <c r="D14" s="32" t="s">
        <v>53</v>
      </c>
      <c r="E14" s="32" t="s">
        <v>25</v>
      </c>
      <c r="F14" s="33">
        <v>0</v>
      </c>
      <c r="G14" s="52">
        <v>45.44</v>
      </c>
      <c r="H14" s="41" t="s">
        <v>122</v>
      </c>
    </row>
    <row r="15" spans="1:8" x14ac:dyDescent="0.2">
      <c r="A15" s="29">
        <v>45974</v>
      </c>
      <c r="B15" s="9" t="s">
        <v>184</v>
      </c>
      <c r="C15" s="9" t="s">
        <v>46</v>
      </c>
      <c r="D15" s="9" t="s">
        <v>34</v>
      </c>
      <c r="E15" s="9" t="s">
        <v>186</v>
      </c>
      <c r="F15" s="10">
        <v>0</v>
      </c>
      <c r="G15" s="50">
        <v>0.03</v>
      </c>
      <c r="H15" s="40" t="s">
        <v>125</v>
      </c>
    </row>
    <row r="16" spans="1:8" x14ac:dyDescent="0.2">
      <c r="A16" s="31">
        <v>45974</v>
      </c>
      <c r="B16" s="32" t="s">
        <v>184</v>
      </c>
      <c r="C16" s="32" t="s">
        <v>46</v>
      </c>
      <c r="D16" s="32" t="s">
        <v>34</v>
      </c>
      <c r="E16" s="32" t="s">
        <v>25</v>
      </c>
      <c r="F16" s="33">
        <v>0</v>
      </c>
      <c r="G16" s="36">
        <v>-0.18</v>
      </c>
      <c r="H16" s="41" t="s">
        <v>124</v>
      </c>
    </row>
    <row r="17" spans="1:8" x14ac:dyDescent="0.2">
      <c r="A17" s="29">
        <v>46001</v>
      </c>
      <c r="B17" s="9" t="s">
        <v>184</v>
      </c>
      <c r="C17" s="9" t="s">
        <v>46</v>
      </c>
      <c r="D17" s="9" t="s">
        <v>34</v>
      </c>
      <c r="E17" s="9" t="s">
        <v>186</v>
      </c>
      <c r="F17" s="10">
        <v>0</v>
      </c>
      <c r="G17" s="50">
        <v>0.03</v>
      </c>
      <c r="H17" s="40" t="s">
        <v>127</v>
      </c>
    </row>
    <row r="18" spans="1:8" x14ac:dyDescent="0.2">
      <c r="A18" s="31">
        <v>46001</v>
      </c>
      <c r="B18" s="32" t="s">
        <v>184</v>
      </c>
      <c r="C18" s="32" t="s">
        <v>46</v>
      </c>
      <c r="D18" s="32" t="s">
        <v>34</v>
      </c>
      <c r="E18" s="32" t="s">
        <v>25</v>
      </c>
      <c r="F18" s="33">
        <v>0</v>
      </c>
      <c r="G18" s="36">
        <v>-0.18</v>
      </c>
      <c r="H18" s="41" t="s">
        <v>126</v>
      </c>
    </row>
    <row r="19" spans="1:8" x14ac:dyDescent="0.2">
      <c r="A19" s="29">
        <v>46002</v>
      </c>
      <c r="B19" s="9" t="s">
        <v>184</v>
      </c>
      <c r="C19" s="9" t="s">
        <v>60</v>
      </c>
      <c r="D19" s="9" t="s">
        <v>53</v>
      </c>
      <c r="E19" s="9" t="s">
        <v>25</v>
      </c>
      <c r="F19" s="10">
        <v>0</v>
      </c>
      <c r="G19" s="50">
        <v>46.51</v>
      </c>
      <c r="H19" s="40" t="s">
        <v>128</v>
      </c>
    </row>
    <row r="20" spans="1:8" x14ac:dyDescent="0.2">
      <c r="A20" s="31">
        <v>46007</v>
      </c>
      <c r="B20" s="32" t="s">
        <v>184</v>
      </c>
      <c r="C20" s="32" t="s">
        <v>50</v>
      </c>
      <c r="D20" s="32" t="s">
        <v>34</v>
      </c>
      <c r="E20" s="32" t="s">
        <v>186</v>
      </c>
      <c r="F20" s="33">
        <v>0</v>
      </c>
      <c r="G20" s="52">
        <v>0.18</v>
      </c>
      <c r="H20" s="41" t="s">
        <v>131</v>
      </c>
    </row>
    <row r="21" spans="1:8" x14ac:dyDescent="0.2">
      <c r="A21" s="29">
        <v>46007</v>
      </c>
      <c r="B21" s="9" t="s">
        <v>184</v>
      </c>
      <c r="C21" s="9" t="s">
        <v>50</v>
      </c>
      <c r="D21" s="9" t="s">
        <v>34</v>
      </c>
      <c r="E21" s="9" t="s">
        <v>25</v>
      </c>
      <c r="F21" s="10">
        <v>0</v>
      </c>
      <c r="G21" s="13">
        <v>-1.1100000000000001</v>
      </c>
      <c r="H21" s="40" t="s">
        <v>130</v>
      </c>
    </row>
    <row r="22" spans="1:8" x14ac:dyDescent="0.2">
      <c r="A22" s="31">
        <v>46020</v>
      </c>
      <c r="B22" s="32" t="s">
        <v>184</v>
      </c>
      <c r="C22" s="32" t="s">
        <v>44</v>
      </c>
      <c r="D22" s="32" t="s">
        <v>34</v>
      </c>
      <c r="E22" s="32"/>
      <c r="F22" s="33">
        <v>0</v>
      </c>
      <c r="G22" s="33">
        <v>0</v>
      </c>
      <c r="H22" s="41" t="s">
        <v>189</v>
      </c>
    </row>
    <row r="23" spans="1:8" x14ac:dyDescent="0.2">
      <c r="A23" s="29">
        <v>46024</v>
      </c>
      <c r="B23" s="9" t="s">
        <v>184</v>
      </c>
      <c r="C23" s="9" t="s">
        <v>46</v>
      </c>
      <c r="D23" s="9" t="s">
        <v>34</v>
      </c>
      <c r="E23" s="9" t="s">
        <v>186</v>
      </c>
      <c r="F23" s="10">
        <v>0</v>
      </c>
      <c r="G23" s="50">
        <v>2.79</v>
      </c>
      <c r="H23" s="40" t="s">
        <v>133</v>
      </c>
    </row>
    <row r="24" spans="1:8" x14ac:dyDescent="0.2">
      <c r="A24" s="31">
        <v>46024</v>
      </c>
      <c r="B24" s="32" t="s">
        <v>184</v>
      </c>
      <c r="C24" s="32" t="s">
        <v>46</v>
      </c>
      <c r="D24" s="32" t="s">
        <v>34</v>
      </c>
      <c r="E24" s="32" t="s">
        <v>25</v>
      </c>
      <c r="F24" s="33">
        <v>0</v>
      </c>
      <c r="G24" s="36">
        <v>-20.6</v>
      </c>
      <c r="H24" s="41" t="s">
        <v>132</v>
      </c>
    </row>
    <row r="25" spans="1:8" x14ac:dyDescent="0.2">
      <c r="A25" s="29">
        <v>46031</v>
      </c>
      <c r="B25" s="9" t="s">
        <v>190</v>
      </c>
      <c r="C25" s="9" t="s">
        <v>46</v>
      </c>
      <c r="D25" s="9" t="s">
        <v>34</v>
      </c>
      <c r="E25" s="9" t="s">
        <v>186</v>
      </c>
      <c r="F25" s="10">
        <v>0</v>
      </c>
      <c r="G25" s="50">
        <v>2.1800000000000002</v>
      </c>
      <c r="H25" s="40" t="s">
        <v>136</v>
      </c>
    </row>
    <row r="26" spans="1:8" x14ac:dyDescent="0.2">
      <c r="A26" s="31">
        <v>46035</v>
      </c>
      <c r="B26" s="32" t="s">
        <v>184</v>
      </c>
      <c r="C26" s="32" t="s">
        <v>46</v>
      </c>
      <c r="D26" s="32" t="s">
        <v>34</v>
      </c>
      <c r="E26" s="32" t="s">
        <v>186</v>
      </c>
      <c r="F26" s="33">
        <v>0</v>
      </c>
      <c r="G26" s="52">
        <v>0.02</v>
      </c>
      <c r="H26" s="41" t="s">
        <v>138</v>
      </c>
    </row>
    <row r="27" spans="1:8" x14ac:dyDescent="0.2">
      <c r="A27" s="29">
        <v>46035</v>
      </c>
      <c r="B27" s="9" t="s">
        <v>184</v>
      </c>
      <c r="C27" s="9" t="s">
        <v>46</v>
      </c>
      <c r="D27" s="9" t="s">
        <v>34</v>
      </c>
      <c r="E27" s="9" t="s">
        <v>25</v>
      </c>
      <c r="F27" s="10">
        <v>0</v>
      </c>
      <c r="G27" s="13">
        <v>-0.12</v>
      </c>
      <c r="H27" s="40" t="s">
        <v>137</v>
      </c>
    </row>
    <row r="28" spans="1:8" x14ac:dyDescent="0.2">
      <c r="A28" s="31">
        <v>46036</v>
      </c>
      <c r="B28" s="32" t="s">
        <v>184</v>
      </c>
      <c r="C28" s="32" t="s">
        <v>60</v>
      </c>
      <c r="D28" s="32" t="s">
        <v>53</v>
      </c>
      <c r="E28" s="32" t="s">
        <v>25</v>
      </c>
      <c r="F28" s="33">
        <v>0</v>
      </c>
      <c r="G28" s="52">
        <v>47.66</v>
      </c>
      <c r="H28" s="41" t="s">
        <v>139</v>
      </c>
    </row>
    <row r="29" spans="1:8" x14ac:dyDescent="0.2">
      <c r="A29" s="29">
        <v>46064</v>
      </c>
      <c r="B29" s="9" t="s">
        <v>184</v>
      </c>
      <c r="C29" s="9" t="s">
        <v>46</v>
      </c>
      <c r="D29" s="9" t="s">
        <v>34</v>
      </c>
      <c r="E29" s="9" t="s">
        <v>186</v>
      </c>
      <c r="F29" s="10">
        <v>0</v>
      </c>
      <c r="G29" s="50">
        <v>0.03</v>
      </c>
      <c r="H29" s="40" t="s">
        <v>148</v>
      </c>
    </row>
    <row r="30" spans="1:8" x14ac:dyDescent="0.2">
      <c r="A30" s="31">
        <v>46064</v>
      </c>
      <c r="B30" s="32" t="s">
        <v>184</v>
      </c>
      <c r="C30" s="32" t="s">
        <v>46</v>
      </c>
      <c r="D30" s="32" t="s">
        <v>34</v>
      </c>
      <c r="E30" s="32" t="s">
        <v>25</v>
      </c>
      <c r="F30" s="33">
        <v>0</v>
      </c>
      <c r="G30" s="36">
        <v>-0.18</v>
      </c>
      <c r="H30" s="41" t="s">
        <v>147</v>
      </c>
    </row>
    <row r="31" spans="1:8" x14ac:dyDescent="0.2">
      <c r="A31" s="29">
        <v>46064</v>
      </c>
      <c r="B31" s="9" t="s">
        <v>184</v>
      </c>
      <c r="C31" s="9" t="s">
        <v>60</v>
      </c>
      <c r="D31" s="9" t="s">
        <v>53</v>
      </c>
      <c r="E31" s="9" t="s">
        <v>25</v>
      </c>
      <c r="F31" s="10">
        <v>0</v>
      </c>
      <c r="G31" s="50">
        <v>49.02</v>
      </c>
      <c r="H31" s="40" t="s">
        <v>149</v>
      </c>
    </row>
    <row r="32" spans="1:8" x14ac:dyDescent="0.2">
      <c r="A32" s="31">
        <v>46092</v>
      </c>
      <c r="B32" s="32" t="s">
        <v>184</v>
      </c>
      <c r="C32" s="32" t="s">
        <v>60</v>
      </c>
      <c r="D32" s="32" t="s">
        <v>53</v>
      </c>
      <c r="E32" s="32" t="s">
        <v>25</v>
      </c>
      <c r="F32" s="33">
        <v>0</v>
      </c>
      <c r="G32" s="52">
        <v>50.43</v>
      </c>
      <c r="H32" s="41" t="s">
        <v>151</v>
      </c>
    </row>
    <row r="33" spans="1:8" x14ac:dyDescent="0.2">
      <c r="A33" s="29">
        <v>46098</v>
      </c>
      <c r="B33" s="9" t="s">
        <v>184</v>
      </c>
      <c r="C33" s="9" t="s">
        <v>50</v>
      </c>
      <c r="D33" s="9" t="s">
        <v>34</v>
      </c>
      <c r="E33" s="9" t="s">
        <v>186</v>
      </c>
      <c r="F33" s="10">
        <v>0</v>
      </c>
      <c r="G33" s="50">
        <v>0.44</v>
      </c>
      <c r="H33" s="40" t="s">
        <v>154</v>
      </c>
    </row>
    <row r="34" spans="1:8" x14ac:dyDescent="0.2">
      <c r="A34" s="31">
        <v>46098</v>
      </c>
      <c r="B34" s="32" t="s">
        <v>184</v>
      </c>
      <c r="C34" s="32" t="s">
        <v>50</v>
      </c>
      <c r="D34" s="32" t="s">
        <v>34</v>
      </c>
      <c r="E34" s="32" t="s">
        <v>25</v>
      </c>
      <c r="F34" s="33">
        <v>0</v>
      </c>
      <c r="G34" s="36">
        <v>-2.64</v>
      </c>
      <c r="H34" s="41" t="s">
        <v>153</v>
      </c>
    </row>
    <row r="35" spans="1:8" x14ac:dyDescent="0.2">
      <c r="A35" s="29">
        <v>46099</v>
      </c>
      <c r="B35" s="9" t="s">
        <v>184</v>
      </c>
      <c r="C35" s="9" t="s">
        <v>46</v>
      </c>
      <c r="D35" s="9" t="s">
        <v>34</v>
      </c>
      <c r="E35" s="9" t="s">
        <v>186</v>
      </c>
      <c r="F35" s="10">
        <v>0</v>
      </c>
      <c r="G35" s="50">
        <v>0.49</v>
      </c>
      <c r="H35" s="40" t="s">
        <v>156</v>
      </c>
    </row>
    <row r="36" spans="1:8" x14ac:dyDescent="0.2">
      <c r="A36" s="31">
        <v>46099</v>
      </c>
      <c r="B36" s="32" t="s">
        <v>184</v>
      </c>
      <c r="C36" s="32" t="s">
        <v>46</v>
      </c>
      <c r="D36" s="32" t="s">
        <v>34</v>
      </c>
      <c r="E36" s="32" t="s">
        <v>25</v>
      </c>
      <c r="F36" s="33">
        <v>0</v>
      </c>
      <c r="G36" s="36">
        <v>-2.94</v>
      </c>
      <c r="H36" s="41" t="s">
        <v>155</v>
      </c>
    </row>
    <row r="37" spans="1:8" x14ac:dyDescent="0.2">
      <c r="A37" s="29">
        <v>46118</v>
      </c>
      <c r="B37" s="9" t="s">
        <v>184</v>
      </c>
      <c r="C37" s="9" t="s">
        <v>44</v>
      </c>
      <c r="D37" s="9" t="s">
        <v>34</v>
      </c>
      <c r="E37" s="9"/>
      <c r="F37" s="10">
        <v>0</v>
      </c>
      <c r="G37" s="10">
        <v>0</v>
      </c>
      <c r="H37" s="40" t="s">
        <v>191</v>
      </c>
    </row>
    <row r="38" spans="1:8" x14ac:dyDescent="0.2">
      <c r="A38" s="31">
        <v>46127</v>
      </c>
      <c r="B38" s="32" t="s">
        <v>184</v>
      </c>
      <c r="C38" s="32" t="s">
        <v>60</v>
      </c>
      <c r="D38" s="32" t="s">
        <v>53</v>
      </c>
      <c r="E38" s="32" t="s">
        <v>25</v>
      </c>
      <c r="F38" s="33">
        <v>0</v>
      </c>
      <c r="G38" s="52">
        <v>51.9</v>
      </c>
      <c r="H38" s="41" t="s">
        <v>177</v>
      </c>
    </row>
    <row r="39" spans="1:8" x14ac:dyDescent="0.2">
      <c r="A39" s="29">
        <v>46150</v>
      </c>
      <c r="B39" s="9" t="s">
        <v>184</v>
      </c>
      <c r="C39" s="9" t="s">
        <v>60</v>
      </c>
      <c r="D39" s="9" t="s">
        <v>53</v>
      </c>
      <c r="E39" s="9" t="s">
        <v>25</v>
      </c>
      <c r="F39" s="10">
        <v>0</v>
      </c>
      <c r="G39" s="50">
        <v>186.31</v>
      </c>
      <c r="H39" s="40" t="s">
        <v>230</v>
      </c>
    </row>
    <row r="40" spans="1:8" ht="15" x14ac:dyDescent="0.25">
      <c r="A40"/>
      <c r="B40"/>
      <c r="C40"/>
      <c r="D40"/>
      <c r="E40"/>
      <c r="F40"/>
      <c r="G40"/>
      <c r="H40"/>
    </row>
    <row r="41" spans="1:8" ht="15" x14ac:dyDescent="0.25">
      <c r="A41"/>
      <c r="B41"/>
      <c r="C41"/>
      <c r="D41"/>
      <c r="E41"/>
      <c r="F41"/>
      <c r="G41"/>
      <c r="H41"/>
    </row>
    <row r="42" spans="1:8" ht="15" x14ac:dyDescent="0.25">
      <c r="A42"/>
      <c r="B42"/>
      <c r="C42"/>
      <c r="D42"/>
      <c r="E42"/>
      <c r="F42"/>
      <c r="G42"/>
      <c r="H42"/>
    </row>
    <row r="43" spans="1:8" ht="15" x14ac:dyDescent="0.25">
      <c r="A43"/>
      <c r="B43"/>
      <c r="C43"/>
      <c r="D43"/>
      <c r="E43"/>
      <c r="F43"/>
      <c r="G43"/>
      <c r="H43"/>
    </row>
    <row r="44" spans="1:8" ht="15" x14ac:dyDescent="0.25">
      <c r="A44"/>
      <c r="B44"/>
      <c r="C44"/>
      <c r="D44"/>
      <c r="E44"/>
      <c r="F44"/>
      <c r="G44"/>
      <c r="H44"/>
    </row>
    <row r="45" spans="1:8" ht="15" x14ac:dyDescent="0.25">
      <c r="A45"/>
      <c r="B45"/>
      <c r="C45"/>
      <c r="D45"/>
      <c r="E45"/>
      <c r="F45"/>
      <c r="G45"/>
      <c r="H45"/>
    </row>
    <row r="46" spans="1:8" ht="15" x14ac:dyDescent="0.25">
      <c r="A46"/>
      <c r="B46"/>
      <c r="C46"/>
      <c r="D46"/>
      <c r="E46"/>
      <c r="F46"/>
      <c r="G46"/>
      <c r="H46"/>
    </row>
    <row r="47" spans="1:8" ht="15" x14ac:dyDescent="0.25">
      <c r="A47"/>
      <c r="B47"/>
      <c r="C47"/>
      <c r="D47"/>
      <c r="E47"/>
      <c r="F47"/>
      <c r="G47"/>
      <c r="H47"/>
    </row>
    <row r="48" spans="1:8" ht="15" x14ac:dyDescent="0.25">
      <c r="A48"/>
      <c r="B48"/>
      <c r="C48"/>
      <c r="D48"/>
      <c r="E48"/>
      <c r="F48"/>
      <c r="G48"/>
      <c r="H48"/>
    </row>
    <row r="49" spans="1:8" ht="15" x14ac:dyDescent="0.25">
      <c r="A49"/>
      <c r="B49"/>
      <c r="C49"/>
      <c r="D49"/>
      <c r="E49"/>
      <c r="F49"/>
      <c r="G49"/>
      <c r="H49"/>
    </row>
    <row r="50" spans="1:8" ht="15" x14ac:dyDescent="0.25">
      <c r="A50"/>
      <c r="B50"/>
      <c r="C50"/>
      <c r="D50"/>
      <c r="E50"/>
      <c r="F50"/>
      <c r="G50"/>
      <c r="H50"/>
    </row>
    <row r="51" spans="1:8" ht="15" x14ac:dyDescent="0.25">
      <c r="A51"/>
      <c r="B51"/>
      <c r="C51"/>
      <c r="D51"/>
      <c r="E51"/>
      <c r="F51"/>
      <c r="G51"/>
      <c r="H51"/>
    </row>
    <row r="52" spans="1:8" ht="15" x14ac:dyDescent="0.25">
      <c r="A52"/>
      <c r="B52"/>
      <c r="C52"/>
      <c r="D52"/>
      <c r="E52"/>
      <c r="F52"/>
      <c r="G52"/>
      <c r="H52"/>
    </row>
    <row r="53" spans="1:8" ht="15" x14ac:dyDescent="0.25">
      <c r="A53"/>
      <c r="B53"/>
      <c r="C53"/>
      <c r="D53"/>
      <c r="E53"/>
      <c r="F53"/>
      <c r="G53"/>
      <c r="H53"/>
    </row>
    <row r="54" spans="1:8" ht="15" x14ac:dyDescent="0.25">
      <c r="A54"/>
      <c r="B54"/>
      <c r="C54"/>
      <c r="D54"/>
      <c r="E54"/>
      <c r="F54"/>
      <c r="G54"/>
      <c r="H54"/>
    </row>
    <row r="55" spans="1:8" ht="15" x14ac:dyDescent="0.25">
      <c r="A55"/>
      <c r="B55"/>
      <c r="C55"/>
      <c r="D55"/>
      <c r="E55"/>
      <c r="F55"/>
      <c r="G55"/>
      <c r="H55"/>
    </row>
    <row r="56" spans="1:8" ht="15" x14ac:dyDescent="0.25">
      <c r="A56"/>
      <c r="B56"/>
      <c r="C56"/>
      <c r="D56"/>
      <c r="E56"/>
      <c r="F56"/>
      <c r="G56"/>
      <c r="H56"/>
    </row>
    <row r="57" spans="1:8" ht="15" x14ac:dyDescent="0.25">
      <c r="A57"/>
      <c r="B57"/>
      <c r="C57"/>
      <c r="D57"/>
      <c r="E57"/>
      <c r="F57"/>
      <c r="G57"/>
      <c r="H57"/>
    </row>
    <row r="58" spans="1:8" ht="15" x14ac:dyDescent="0.25">
      <c r="A58"/>
      <c r="B58"/>
      <c r="C58"/>
      <c r="D58"/>
      <c r="E58"/>
      <c r="F58"/>
      <c r="G58"/>
      <c r="H58"/>
    </row>
    <row r="59" spans="1:8" ht="15" x14ac:dyDescent="0.25">
      <c r="A59"/>
      <c r="B59"/>
      <c r="C59"/>
      <c r="D59"/>
      <c r="E59"/>
      <c r="F59"/>
      <c r="G59"/>
      <c r="H59"/>
    </row>
    <row r="60" spans="1:8" ht="15" x14ac:dyDescent="0.25">
      <c r="A60"/>
      <c r="B60"/>
      <c r="C60"/>
      <c r="D60"/>
      <c r="E60"/>
      <c r="F60"/>
      <c r="G60"/>
      <c r="H60"/>
    </row>
    <row r="61" spans="1:8" ht="15" x14ac:dyDescent="0.25">
      <c r="A61"/>
      <c r="B61"/>
      <c r="C61"/>
      <c r="D61"/>
      <c r="E61"/>
      <c r="F61"/>
      <c r="G61"/>
      <c r="H61"/>
    </row>
    <row r="62" spans="1:8" ht="15" x14ac:dyDescent="0.25">
      <c r="A62"/>
      <c r="B62"/>
      <c r="C62"/>
      <c r="D62"/>
      <c r="E62"/>
      <c r="F62"/>
      <c r="G62"/>
      <c r="H62"/>
    </row>
    <row r="63" spans="1:8" ht="15" x14ac:dyDescent="0.25">
      <c r="A63"/>
      <c r="B63"/>
      <c r="C63"/>
      <c r="D63"/>
      <c r="E63"/>
      <c r="F63"/>
      <c r="G63"/>
      <c r="H63"/>
    </row>
    <row r="64" spans="1:8" ht="15" x14ac:dyDescent="0.25">
      <c r="A64"/>
      <c r="B64"/>
      <c r="C64"/>
      <c r="D64"/>
      <c r="E64"/>
      <c r="F64"/>
      <c r="G64"/>
      <c r="H64"/>
    </row>
    <row r="65" spans="1:8" ht="15" x14ac:dyDescent="0.25">
      <c r="A65"/>
      <c r="B65"/>
      <c r="C65"/>
      <c r="D65"/>
      <c r="E65"/>
      <c r="F65"/>
      <c r="G65"/>
      <c r="H65"/>
    </row>
    <row r="66" spans="1:8" ht="15" x14ac:dyDescent="0.25">
      <c r="A66"/>
      <c r="B66"/>
      <c r="C66"/>
      <c r="D66"/>
      <c r="E66"/>
      <c r="F66"/>
      <c r="G66"/>
      <c r="H66"/>
    </row>
    <row r="67" spans="1:8" ht="15" x14ac:dyDescent="0.25">
      <c r="A67"/>
      <c r="B67"/>
      <c r="C67"/>
      <c r="D67"/>
      <c r="E67"/>
      <c r="F67"/>
      <c r="G67"/>
      <c r="H67"/>
    </row>
    <row r="68" spans="1:8" ht="15" x14ac:dyDescent="0.25">
      <c r="A68"/>
      <c r="B68"/>
      <c r="C68"/>
      <c r="D68"/>
      <c r="E68"/>
      <c r="F68"/>
      <c r="G68"/>
      <c r="H68"/>
    </row>
    <row r="69" spans="1:8" ht="15" x14ac:dyDescent="0.25">
      <c r="A69"/>
      <c r="B69"/>
      <c r="C69"/>
      <c r="D69"/>
      <c r="E69"/>
      <c r="F69"/>
      <c r="G69"/>
      <c r="H69"/>
    </row>
    <row r="70" spans="1:8" ht="15" x14ac:dyDescent="0.25">
      <c r="A70"/>
      <c r="B70"/>
      <c r="C70"/>
      <c r="D70"/>
      <c r="E70"/>
      <c r="F70"/>
      <c r="G70"/>
      <c r="H70"/>
    </row>
    <row r="71" spans="1:8" ht="15" x14ac:dyDescent="0.25">
      <c r="A71"/>
      <c r="B71"/>
      <c r="C71"/>
      <c r="D71"/>
      <c r="E71"/>
      <c r="F71"/>
      <c r="G71"/>
      <c r="H71"/>
    </row>
    <row r="72" spans="1:8" ht="15" x14ac:dyDescent="0.25">
      <c r="A72"/>
      <c r="B72"/>
      <c r="C72"/>
      <c r="D72"/>
      <c r="E72"/>
      <c r="F72"/>
      <c r="G72"/>
      <c r="H72"/>
    </row>
    <row r="73" spans="1:8" ht="15" x14ac:dyDescent="0.25">
      <c r="A73"/>
      <c r="B73"/>
      <c r="C73"/>
      <c r="D73"/>
      <c r="E73"/>
      <c r="F73"/>
      <c r="G73"/>
      <c r="H73"/>
    </row>
    <row r="74" spans="1:8" ht="15" x14ac:dyDescent="0.25">
      <c r="A74"/>
      <c r="B74"/>
      <c r="C74"/>
      <c r="D74"/>
      <c r="E74"/>
      <c r="F74"/>
      <c r="G74"/>
      <c r="H74"/>
    </row>
    <row r="75" spans="1:8" ht="15" x14ac:dyDescent="0.25">
      <c r="A75"/>
      <c r="B75"/>
      <c r="C75"/>
      <c r="D75"/>
      <c r="E75"/>
      <c r="F75"/>
      <c r="G75"/>
      <c r="H75"/>
    </row>
    <row r="76" spans="1:8" ht="15" x14ac:dyDescent="0.25">
      <c r="A76"/>
      <c r="B76"/>
      <c r="C76"/>
      <c r="D76"/>
      <c r="E76"/>
      <c r="F76"/>
      <c r="G76"/>
      <c r="H76"/>
    </row>
    <row r="77" spans="1:8" ht="15" x14ac:dyDescent="0.25">
      <c r="A77"/>
      <c r="B77"/>
      <c r="C77"/>
      <c r="D77"/>
      <c r="E77"/>
      <c r="F77"/>
      <c r="G77"/>
      <c r="H77"/>
    </row>
    <row r="78" spans="1:8" ht="15" x14ac:dyDescent="0.25">
      <c r="A78"/>
      <c r="B78"/>
      <c r="C78"/>
      <c r="D78"/>
      <c r="E78"/>
      <c r="F78"/>
      <c r="G78"/>
      <c r="H78"/>
    </row>
    <row r="79" spans="1:8" ht="15" x14ac:dyDescent="0.25">
      <c r="A79"/>
      <c r="B79"/>
      <c r="C79"/>
      <c r="D79"/>
      <c r="E79"/>
      <c r="F79"/>
      <c r="G79"/>
      <c r="H79"/>
    </row>
  </sheetData>
  <sortState xmlns:xlrd2="http://schemas.microsoft.com/office/spreadsheetml/2017/richdata2" ref="A3:H39">
    <sortCondition ref="A3:A39"/>
  </sortState>
  <mergeCells count="1">
    <mergeCell ref="A1:G1"/>
  </mergeCells>
  <dataValidations count="2">
    <dataValidation type="list" allowBlank="1" sqref="E3:E38" xr:uid="{7E53FAA4-A1E8-47A9-AFB1-BEC8C770C542}">
      <formula1>"BUY,SELL,DIVIDEND,CAPITAL_INFLOW,CAUTION_OPEN,CAUTION_CLOSE,ADJUSTMENT"</formula1>
      <formula2>0</formula2>
    </dataValidation>
    <dataValidation type="list" allowBlank="1" sqref="C3:C38" xr:uid="{B0BE054B-6908-4B6B-846A-1E1FB2392ECF}">
      <formula1>"Stock,CEDEAR,Bond,Corporate Bond,Mutual Fund,T-Bill,Cash,Other"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EDBE-7955-46AB-A0D7-595DF86B99CA}">
  <sheetPr codeName="Hoja8">
    <tabColor rgb="FFB4BECD"/>
  </sheetPr>
  <dimension ref="A1:O502"/>
  <sheetViews>
    <sheetView showGridLines="0" zoomScaleNormal="100" workbookViewId="0">
      <pane ySplit="2" topLeftCell="A3" activePane="bottomLeft" state="frozen"/>
      <selection activeCell="A3" sqref="A3"/>
      <selection pane="bottomLeft" activeCell="A3" sqref="A3:E11"/>
    </sheetView>
  </sheetViews>
  <sheetFormatPr defaultColWidth="8.7109375" defaultRowHeight="12" x14ac:dyDescent="0.2"/>
  <cols>
    <col min="1" max="1" width="9" style="1" bestFit="1" customWidth="1"/>
    <col min="2" max="2" width="37.42578125" style="1" bestFit="1" customWidth="1"/>
    <col min="3" max="3" width="5.7109375" style="1" bestFit="1" customWidth="1"/>
    <col min="4" max="4" width="8.140625" style="1" bestFit="1" customWidth="1"/>
    <col min="5" max="5" width="7.140625" style="1" bestFit="1" customWidth="1"/>
    <col min="6" max="6" width="4.7109375" style="1" hidden="1" customWidth="1"/>
    <col min="7" max="15" width="8.7109375" style="1" hidden="1" customWidth="1"/>
    <col min="16" max="16384" width="8.7109375" style="1"/>
  </cols>
  <sheetData>
    <row r="1" spans="1:15" ht="24" customHeight="1" x14ac:dyDescent="0.25">
      <c r="A1" s="104" t="s">
        <v>181</v>
      </c>
      <c r="B1" s="104"/>
      <c r="C1" s="104"/>
      <c r="D1" s="104"/>
      <c r="E1" s="104"/>
      <c r="F1" s="23"/>
      <c r="G1"/>
      <c r="H1"/>
      <c r="I1"/>
      <c r="J1"/>
      <c r="K1"/>
      <c r="L1"/>
      <c r="M1"/>
      <c r="N1"/>
      <c r="O1"/>
    </row>
    <row r="2" spans="1:15" ht="27.95" customHeight="1" x14ac:dyDescent="0.2">
      <c r="A2" s="18" t="s">
        <v>21</v>
      </c>
      <c r="B2" s="18" t="s">
        <v>4</v>
      </c>
      <c r="C2" s="18" t="s">
        <v>2</v>
      </c>
      <c r="D2" s="18" t="s">
        <v>14</v>
      </c>
      <c r="E2" s="18" t="s">
        <v>179</v>
      </c>
      <c r="F2" s="16"/>
    </row>
    <row r="3" spans="1:15" x14ac:dyDescent="0.2">
      <c r="A3" s="29">
        <v>45881</v>
      </c>
      <c r="B3" s="9" t="s">
        <v>70</v>
      </c>
      <c r="C3" s="9" t="s">
        <v>60</v>
      </c>
      <c r="D3" s="9" t="s">
        <v>25</v>
      </c>
      <c r="E3" s="13">
        <v>-3.01</v>
      </c>
      <c r="F3" s="57" t="s">
        <v>104</v>
      </c>
    </row>
    <row r="4" spans="1:15" x14ac:dyDescent="0.2">
      <c r="A4" s="31">
        <v>45910</v>
      </c>
      <c r="B4" s="32" t="s">
        <v>62</v>
      </c>
      <c r="C4" s="32" t="s">
        <v>60</v>
      </c>
      <c r="D4" s="32" t="s">
        <v>25</v>
      </c>
      <c r="E4" s="36">
        <v>-3.07</v>
      </c>
      <c r="F4" s="57" t="s">
        <v>115</v>
      </c>
    </row>
    <row r="5" spans="1:15" x14ac:dyDescent="0.2">
      <c r="A5" s="29">
        <v>45943</v>
      </c>
      <c r="B5" s="9" t="s">
        <v>62</v>
      </c>
      <c r="C5" s="9" t="s">
        <v>60</v>
      </c>
      <c r="D5" s="9" t="s">
        <v>25</v>
      </c>
      <c r="E5" s="13">
        <v>-3.12</v>
      </c>
      <c r="F5" s="57" t="s">
        <v>188</v>
      </c>
    </row>
    <row r="6" spans="1:15" x14ac:dyDescent="0.2">
      <c r="A6" s="31">
        <v>45973</v>
      </c>
      <c r="B6" s="32" t="s">
        <v>62</v>
      </c>
      <c r="C6" s="32" t="s">
        <v>60</v>
      </c>
      <c r="D6" s="32" t="s">
        <v>25</v>
      </c>
      <c r="E6" s="36">
        <v>-3.19</v>
      </c>
      <c r="F6" s="57" t="s">
        <v>123</v>
      </c>
    </row>
    <row r="7" spans="1:15" x14ac:dyDescent="0.2">
      <c r="A7" s="29">
        <v>46002</v>
      </c>
      <c r="B7" s="9" t="s">
        <v>62</v>
      </c>
      <c r="C7" s="9" t="s">
        <v>60</v>
      </c>
      <c r="D7" s="9" t="s">
        <v>25</v>
      </c>
      <c r="E7" s="13">
        <v>-3.26</v>
      </c>
      <c r="F7" s="57" t="s">
        <v>129</v>
      </c>
    </row>
    <row r="8" spans="1:15" x14ac:dyDescent="0.2">
      <c r="A8" s="31">
        <v>46036</v>
      </c>
      <c r="B8" s="32" t="s">
        <v>62</v>
      </c>
      <c r="C8" s="32" t="s">
        <v>60</v>
      </c>
      <c r="D8" s="32" t="s">
        <v>25</v>
      </c>
      <c r="E8" s="36">
        <v>-3.34</v>
      </c>
      <c r="F8" s="57" t="s">
        <v>140</v>
      </c>
    </row>
    <row r="9" spans="1:15" x14ac:dyDescent="0.2">
      <c r="A9" s="29">
        <v>46064</v>
      </c>
      <c r="B9" s="9" t="s">
        <v>62</v>
      </c>
      <c r="C9" s="9" t="s">
        <v>60</v>
      </c>
      <c r="D9" s="9" t="s">
        <v>25</v>
      </c>
      <c r="E9" s="13">
        <v>-3.44</v>
      </c>
      <c r="F9" s="57" t="s">
        <v>150</v>
      </c>
    </row>
    <row r="10" spans="1:15" x14ac:dyDescent="0.2">
      <c r="A10" s="31">
        <v>46092</v>
      </c>
      <c r="B10" s="32" t="s">
        <v>62</v>
      </c>
      <c r="C10" s="32" t="s">
        <v>60</v>
      </c>
      <c r="D10" s="32" t="s">
        <v>25</v>
      </c>
      <c r="E10" s="36">
        <v>-3.54</v>
      </c>
      <c r="F10" s="57" t="s">
        <v>152</v>
      </c>
    </row>
    <row r="11" spans="1:15" x14ac:dyDescent="0.2">
      <c r="A11" s="29">
        <v>46127</v>
      </c>
      <c r="B11" s="9" t="s">
        <v>62</v>
      </c>
      <c r="C11" s="9" t="s">
        <v>60</v>
      </c>
      <c r="D11" s="9" t="s">
        <v>25</v>
      </c>
      <c r="E11" s="13">
        <v>-3.64</v>
      </c>
      <c r="F11" s="57" t="s">
        <v>178</v>
      </c>
    </row>
    <row r="12" spans="1:15" ht="15" x14ac:dyDescent="0.25">
      <c r="A12"/>
      <c r="B12"/>
      <c r="C12"/>
      <c r="D12"/>
      <c r="E12"/>
      <c r="F12"/>
    </row>
    <row r="13" spans="1:15" ht="15" x14ac:dyDescent="0.25">
      <c r="A13"/>
      <c r="B13"/>
      <c r="C13"/>
      <c r="D13"/>
      <c r="E13"/>
      <c r="F13"/>
    </row>
    <row r="14" spans="1:15" ht="15" x14ac:dyDescent="0.25">
      <c r="A14"/>
      <c r="B14"/>
      <c r="C14"/>
      <c r="D14"/>
      <c r="E14"/>
      <c r="F14"/>
    </row>
    <row r="15" spans="1:15" ht="15" x14ac:dyDescent="0.25">
      <c r="A15"/>
      <c r="B15"/>
      <c r="C15"/>
      <c r="D15"/>
      <c r="E15"/>
      <c r="F15"/>
    </row>
    <row r="16" spans="1:15" ht="15" x14ac:dyDescent="0.25">
      <c r="A16"/>
      <c r="B16"/>
      <c r="C16"/>
      <c r="D16"/>
      <c r="E16"/>
      <c r="F16"/>
    </row>
    <row r="17" spans="1:6" ht="15" x14ac:dyDescent="0.25">
      <c r="A17"/>
      <c r="B17"/>
      <c r="C17"/>
      <c r="D17"/>
      <c r="E17"/>
      <c r="F17"/>
    </row>
    <row r="18" spans="1:6" ht="15" x14ac:dyDescent="0.25">
      <c r="A18"/>
      <c r="B18"/>
      <c r="C18"/>
      <c r="D18"/>
      <c r="E18"/>
      <c r="F18"/>
    </row>
    <row r="19" spans="1:6" ht="15" x14ac:dyDescent="0.25">
      <c r="A19"/>
      <c r="B19"/>
      <c r="C19"/>
      <c r="D19"/>
      <c r="E19"/>
      <c r="F19"/>
    </row>
    <row r="20" spans="1:6" ht="15" x14ac:dyDescent="0.25">
      <c r="A20"/>
      <c r="B20"/>
      <c r="C20"/>
      <c r="D20"/>
      <c r="E20"/>
      <c r="F20"/>
    </row>
    <row r="21" spans="1:6" ht="15" x14ac:dyDescent="0.25">
      <c r="A21"/>
      <c r="B21"/>
      <c r="C21"/>
      <c r="D21"/>
      <c r="E21"/>
      <c r="F21"/>
    </row>
    <row r="22" spans="1:6" ht="15" x14ac:dyDescent="0.25">
      <c r="A22"/>
      <c r="B22"/>
      <c r="C22"/>
      <c r="D22"/>
      <c r="E22"/>
      <c r="F22"/>
    </row>
    <row r="23" spans="1:6" ht="15" x14ac:dyDescent="0.25">
      <c r="A23"/>
      <c r="B23"/>
      <c r="C23"/>
      <c r="D23"/>
      <c r="E23"/>
      <c r="F23"/>
    </row>
    <row r="24" spans="1:6" ht="15" x14ac:dyDescent="0.25">
      <c r="A24"/>
      <c r="B24"/>
      <c r="C24"/>
      <c r="D24"/>
      <c r="E24"/>
      <c r="F24"/>
    </row>
    <row r="25" spans="1:6" ht="15" x14ac:dyDescent="0.25">
      <c r="A25"/>
      <c r="B25"/>
      <c r="C25"/>
      <c r="D25"/>
      <c r="E25"/>
      <c r="F25"/>
    </row>
    <row r="26" spans="1:6" ht="15" x14ac:dyDescent="0.25">
      <c r="A26"/>
      <c r="B26"/>
      <c r="C26"/>
      <c r="D26"/>
      <c r="E26"/>
      <c r="F26"/>
    </row>
    <row r="27" spans="1:6" ht="15" x14ac:dyDescent="0.25">
      <c r="A27"/>
      <c r="B27"/>
      <c r="C27"/>
      <c r="D27"/>
      <c r="E27"/>
      <c r="F27"/>
    </row>
    <row r="28" spans="1:6" ht="15" x14ac:dyDescent="0.25">
      <c r="A28"/>
      <c r="B28"/>
      <c r="C28"/>
      <c r="D28"/>
      <c r="E28"/>
      <c r="F28"/>
    </row>
    <row r="29" spans="1:6" ht="15" x14ac:dyDescent="0.25">
      <c r="A29"/>
      <c r="B29"/>
      <c r="C29"/>
      <c r="D29"/>
      <c r="E29"/>
      <c r="F29"/>
    </row>
    <row r="30" spans="1:6" ht="15" x14ac:dyDescent="0.25">
      <c r="A30"/>
      <c r="B30"/>
      <c r="C30"/>
      <c r="D30"/>
      <c r="E30"/>
      <c r="F30"/>
    </row>
    <row r="31" spans="1:6" ht="15" x14ac:dyDescent="0.25">
      <c r="A31"/>
      <c r="B31"/>
      <c r="C31"/>
      <c r="D31"/>
      <c r="E31"/>
      <c r="F31"/>
    </row>
    <row r="32" spans="1:6" ht="15" x14ac:dyDescent="0.25">
      <c r="A32"/>
      <c r="B32"/>
      <c r="C32"/>
      <c r="D32"/>
      <c r="E32"/>
      <c r="F32"/>
    </row>
    <row r="33" spans="1:6" ht="15" x14ac:dyDescent="0.25">
      <c r="A33"/>
      <c r="B33"/>
      <c r="C33"/>
      <c r="D33"/>
      <c r="E33"/>
      <c r="F33"/>
    </row>
    <row r="34" spans="1:6" ht="15" x14ac:dyDescent="0.25">
      <c r="A34"/>
      <c r="B34"/>
      <c r="C34"/>
      <c r="D34"/>
      <c r="E34"/>
      <c r="F34"/>
    </row>
    <row r="35" spans="1:6" ht="15" x14ac:dyDescent="0.25">
      <c r="A35"/>
      <c r="B35"/>
      <c r="C35"/>
      <c r="D35"/>
      <c r="E35"/>
      <c r="F35"/>
    </row>
    <row r="36" spans="1:6" ht="15" x14ac:dyDescent="0.25">
      <c r="A36"/>
      <c r="B36"/>
      <c r="C36"/>
      <c r="D36"/>
      <c r="E36"/>
      <c r="F36"/>
    </row>
    <row r="37" spans="1:6" ht="15" x14ac:dyDescent="0.25">
      <c r="A37"/>
      <c r="B37"/>
      <c r="C37"/>
      <c r="D37"/>
      <c r="E37"/>
      <c r="F37"/>
    </row>
    <row r="38" spans="1:6" ht="15" x14ac:dyDescent="0.25">
      <c r="A38"/>
      <c r="B38"/>
      <c r="C38"/>
      <c r="D38"/>
      <c r="E38"/>
      <c r="F38"/>
    </row>
    <row r="39" spans="1:6" ht="15" x14ac:dyDescent="0.25">
      <c r="A39"/>
      <c r="B39"/>
      <c r="C39"/>
      <c r="D39"/>
      <c r="E39"/>
      <c r="F39"/>
    </row>
    <row r="40" spans="1:6" ht="15" x14ac:dyDescent="0.25">
      <c r="A40"/>
      <c r="B40"/>
      <c r="C40"/>
      <c r="D40"/>
      <c r="E40"/>
      <c r="F40"/>
    </row>
    <row r="41" spans="1:6" ht="15" x14ac:dyDescent="0.25">
      <c r="A41"/>
      <c r="B41"/>
      <c r="C41"/>
      <c r="D41"/>
      <c r="E41"/>
      <c r="F41"/>
    </row>
    <row r="42" spans="1:6" ht="15" x14ac:dyDescent="0.25">
      <c r="A42"/>
      <c r="B42"/>
      <c r="C42"/>
      <c r="D42"/>
      <c r="E42"/>
      <c r="F42"/>
    </row>
    <row r="43" spans="1:6" ht="15" x14ac:dyDescent="0.25">
      <c r="A43"/>
      <c r="B43"/>
      <c r="C43"/>
      <c r="D43"/>
      <c r="E43"/>
      <c r="F43"/>
    </row>
    <row r="44" spans="1:6" ht="15" x14ac:dyDescent="0.25">
      <c r="A44"/>
      <c r="B44"/>
      <c r="C44"/>
      <c r="D44"/>
      <c r="E44"/>
      <c r="F44"/>
    </row>
    <row r="45" spans="1:6" ht="15" x14ac:dyDescent="0.25">
      <c r="A45"/>
      <c r="B45"/>
      <c r="C45"/>
      <c r="D45"/>
      <c r="E45"/>
      <c r="F45"/>
    </row>
    <row r="46" spans="1:6" ht="15" x14ac:dyDescent="0.25">
      <c r="A46"/>
      <c r="B46"/>
      <c r="C46"/>
      <c r="D46"/>
      <c r="E46"/>
      <c r="F46"/>
    </row>
    <row r="47" spans="1:6" ht="15" x14ac:dyDescent="0.25">
      <c r="A47"/>
      <c r="B47"/>
      <c r="C47"/>
      <c r="D47"/>
      <c r="E47"/>
      <c r="F47"/>
    </row>
    <row r="48" spans="1:6" ht="15" x14ac:dyDescent="0.25">
      <c r="A48"/>
      <c r="B48"/>
      <c r="C48"/>
      <c r="D48"/>
      <c r="E48"/>
      <c r="F48"/>
    </row>
    <row r="49" spans="1:6" ht="15" x14ac:dyDescent="0.25">
      <c r="A49"/>
      <c r="B49"/>
      <c r="C49"/>
      <c r="D49"/>
      <c r="E49"/>
      <c r="F49"/>
    </row>
    <row r="50" spans="1:6" ht="15" x14ac:dyDescent="0.25">
      <c r="A50"/>
      <c r="B50"/>
      <c r="C50"/>
      <c r="D50"/>
      <c r="E50"/>
      <c r="F50"/>
    </row>
    <row r="51" spans="1:6" ht="15" x14ac:dyDescent="0.25">
      <c r="A51"/>
      <c r="B51"/>
      <c r="C51"/>
      <c r="D51"/>
      <c r="E51"/>
      <c r="F51"/>
    </row>
    <row r="52" spans="1:6" x14ac:dyDescent="0.2">
      <c r="A52" s="6"/>
      <c r="E52" s="3"/>
    </row>
    <row r="53" spans="1:6" x14ac:dyDescent="0.2">
      <c r="A53" s="6"/>
      <c r="E53" s="3"/>
    </row>
    <row r="54" spans="1:6" x14ac:dyDescent="0.2">
      <c r="A54" s="6"/>
      <c r="E54" s="3"/>
    </row>
    <row r="55" spans="1:6" x14ac:dyDescent="0.2">
      <c r="A55" s="6"/>
      <c r="E55" s="3"/>
    </row>
    <row r="56" spans="1:6" x14ac:dyDescent="0.2">
      <c r="A56" s="6"/>
      <c r="E56" s="3"/>
    </row>
    <row r="57" spans="1:6" x14ac:dyDescent="0.2">
      <c r="A57" s="6"/>
      <c r="E57" s="3"/>
    </row>
    <row r="58" spans="1:6" x14ac:dyDescent="0.2">
      <c r="A58" s="6"/>
      <c r="E58" s="3"/>
    </row>
    <row r="59" spans="1:6" x14ac:dyDescent="0.2">
      <c r="A59" s="6"/>
      <c r="E59" s="3"/>
    </row>
    <row r="60" spans="1:6" x14ac:dyDescent="0.2">
      <c r="A60" s="6"/>
      <c r="E60" s="3"/>
    </row>
    <row r="61" spans="1:6" x14ac:dyDescent="0.2">
      <c r="A61" s="6"/>
      <c r="E61" s="3"/>
    </row>
    <row r="62" spans="1:6" x14ac:dyDescent="0.2">
      <c r="A62" s="6"/>
      <c r="E62" s="3"/>
    </row>
    <row r="63" spans="1:6" x14ac:dyDescent="0.2">
      <c r="A63" s="6"/>
      <c r="E63" s="3"/>
    </row>
    <row r="64" spans="1:6" x14ac:dyDescent="0.2">
      <c r="A64" s="6"/>
      <c r="E64" s="3"/>
    </row>
    <row r="65" spans="1:5" x14ac:dyDescent="0.2">
      <c r="A65" s="6"/>
      <c r="E65" s="3"/>
    </row>
    <row r="66" spans="1:5" x14ac:dyDescent="0.2">
      <c r="A66" s="6"/>
      <c r="E66" s="3"/>
    </row>
    <row r="67" spans="1:5" x14ac:dyDescent="0.2">
      <c r="A67" s="6"/>
      <c r="E67" s="3"/>
    </row>
    <row r="68" spans="1:5" x14ac:dyDescent="0.2">
      <c r="A68" s="6"/>
      <c r="E68" s="3"/>
    </row>
    <row r="69" spans="1:5" x14ac:dyDescent="0.2">
      <c r="A69" s="6"/>
      <c r="E69" s="3"/>
    </row>
    <row r="70" spans="1:5" x14ac:dyDescent="0.2">
      <c r="A70" s="6"/>
      <c r="E70" s="3"/>
    </row>
    <row r="71" spans="1:5" x14ac:dyDescent="0.2">
      <c r="A71" s="6"/>
      <c r="E71" s="3"/>
    </row>
    <row r="72" spans="1:5" x14ac:dyDescent="0.2">
      <c r="A72" s="6"/>
      <c r="E72" s="3"/>
    </row>
    <row r="73" spans="1:5" x14ac:dyDescent="0.2">
      <c r="A73" s="6"/>
      <c r="E73" s="3"/>
    </row>
    <row r="74" spans="1:5" x14ac:dyDescent="0.2">
      <c r="A74" s="6"/>
      <c r="E74" s="3"/>
    </row>
    <row r="75" spans="1:5" x14ac:dyDescent="0.2">
      <c r="A75" s="6"/>
      <c r="E75" s="3"/>
    </row>
    <row r="76" spans="1:5" x14ac:dyDescent="0.2">
      <c r="A76" s="6"/>
      <c r="E76" s="3"/>
    </row>
    <row r="77" spans="1:5" x14ac:dyDescent="0.2">
      <c r="A77" s="6"/>
      <c r="E77" s="3"/>
    </row>
    <row r="78" spans="1:5" x14ac:dyDescent="0.2">
      <c r="A78" s="6"/>
      <c r="E78" s="3"/>
    </row>
    <row r="79" spans="1:5" x14ac:dyDescent="0.2">
      <c r="A79" s="6"/>
      <c r="E79" s="3"/>
    </row>
    <row r="80" spans="1:5" x14ac:dyDescent="0.2">
      <c r="A80" s="6"/>
      <c r="E80" s="3"/>
    </row>
    <row r="81" spans="1:5" x14ac:dyDescent="0.2">
      <c r="A81" s="6"/>
      <c r="E81" s="3"/>
    </row>
    <row r="82" spans="1:5" x14ac:dyDescent="0.2">
      <c r="A82" s="6"/>
      <c r="E82" s="3"/>
    </row>
    <row r="83" spans="1:5" x14ac:dyDescent="0.2">
      <c r="A83" s="6"/>
      <c r="E83" s="3"/>
    </row>
    <row r="84" spans="1:5" x14ac:dyDescent="0.2">
      <c r="A84" s="6"/>
      <c r="E84" s="3"/>
    </row>
    <row r="85" spans="1:5" x14ac:dyDescent="0.2">
      <c r="A85" s="6"/>
      <c r="E85" s="3"/>
    </row>
    <row r="86" spans="1:5" x14ac:dyDescent="0.2">
      <c r="A86" s="6"/>
      <c r="E86" s="3"/>
    </row>
    <row r="87" spans="1:5" x14ac:dyDescent="0.2">
      <c r="A87" s="6"/>
      <c r="E87" s="3"/>
    </row>
    <row r="88" spans="1:5" x14ac:dyDescent="0.2">
      <c r="A88" s="6"/>
      <c r="E88" s="3"/>
    </row>
    <row r="89" spans="1:5" x14ac:dyDescent="0.2">
      <c r="A89" s="6"/>
      <c r="E89" s="3"/>
    </row>
    <row r="90" spans="1:5" x14ac:dyDescent="0.2">
      <c r="A90" s="6"/>
      <c r="E90" s="3"/>
    </row>
    <row r="91" spans="1:5" x14ac:dyDescent="0.2">
      <c r="A91" s="6"/>
      <c r="E91" s="3"/>
    </row>
    <row r="92" spans="1:5" x14ac:dyDescent="0.2">
      <c r="A92" s="6"/>
      <c r="E92" s="3"/>
    </row>
    <row r="93" spans="1:5" x14ac:dyDescent="0.2">
      <c r="A93" s="6"/>
      <c r="E93" s="3"/>
    </row>
    <row r="94" spans="1:5" x14ac:dyDescent="0.2">
      <c r="A94" s="6"/>
      <c r="E94" s="3"/>
    </row>
    <row r="95" spans="1:5" x14ac:dyDescent="0.2">
      <c r="A95" s="6"/>
      <c r="E95" s="3"/>
    </row>
    <row r="96" spans="1:5" x14ac:dyDescent="0.2">
      <c r="A96" s="6"/>
      <c r="E96" s="3"/>
    </row>
    <row r="97" spans="1:5" x14ac:dyDescent="0.2">
      <c r="A97" s="6"/>
      <c r="E97" s="3"/>
    </row>
    <row r="98" spans="1:5" x14ac:dyDescent="0.2">
      <c r="A98" s="6"/>
      <c r="E98" s="3"/>
    </row>
    <row r="99" spans="1:5" x14ac:dyDescent="0.2">
      <c r="A99" s="6"/>
      <c r="E99" s="3"/>
    </row>
    <row r="100" spans="1:5" x14ac:dyDescent="0.2">
      <c r="A100" s="6"/>
      <c r="E100" s="3"/>
    </row>
    <row r="101" spans="1:5" x14ac:dyDescent="0.2">
      <c r="A101" s="6"/>
      <c r="E101" s="3"/>
    </row>
    <row r="102" spans="1:5" x14ac:dyDescent="0.2">
      <c r="A102" s="6"/>
      <c r="E102" s="3"/>
    </row>
    <row r="103" spans="1:5" x14ac:dyDescent="0.2">
      <c r="A103" s="6"/>
      <c r="E103" s="3"/>
    </row>
    <row r="104" spans="1:5" x14ac:dyDescent="0.2">
      <c r="A104" s="6"/>
      <c r="E104" s="3"/>
    </row>
    <row r="105" spans="1:5" x14ac:dyDescent="0.2">
      <c r="A105" s="6"/>
      <c r="E105" s="3"/>
    </row>
    <row r="106" spans="1:5" x14ac:dyDescent="0.2">
      <c r="A106" s="6"/>
      <c r="E106" s="3"/>
    </row>
    <row r="107" spans="1:5" x14ac:dyDescent="0.2">
      <c r="A107" s="6"/>
      <c r="E107" s="3"/>
    </row>
    <row r="108" spans="1:5" x14ac:dyDescent="0.2">
      <c r="A108" s="6"/>
      <c r="E108" s="3"/>
    </row>
    <row r="109" spans="1:5" x14ac:dyDescent="0.2">
      <c r="A109" s="6"/>
      <c r="E109" s="3"/>
    </row>
    <row r="110" spans="1:5" x14ac:dyDescent="0.2">
      <c r="A110" s="6"/>
      <c r="E110" s="3"/>
    </row>
    <row r="111" spans="1:5" x14ac:dyDescent="0.2">
      <c r="A111" s="6"/>
      <c r="E111" s="3"/>
    </row>
    <row r="112" spans="1:5" x14ac:dyDescent="0.2">
      <c r="A112" s="6"/>
      <c r="E112" s="3"/>
    </row>
    <row r="113" spans="1:5" x14ac:dyDescent="0.2">
      <c r="A113" s="6"/>
      <c r="E113" s="3"/>
    </row>
    <row r="114" spans="1:5" x14ac:dyDescent="0.2">
      <c r="A114" s="6"/>
      <c r="E114" s="3"/>
    </row>
    <row r="115" spans="1:5" x14ac:dyDescent="0.2">
      <c r="A115" s="6"/>
      <c r="E115" s="3"/>
    </row>
    <row r="116" spans="1:5" x14ac:dyDescent="0.2">
      <c r="A116" s="6"/>
      <c r="E116" s="3"/>
    </row>
    <row r="117" spans="1:5" x14ac:dyDescent="0.2">
      <c r="A117" s="6"/>
      <c r="E117" s="3"/>
    </row>
    <row r="118" spans="1:5" x14ac:dyDescent="0.2">
      <c r="A118" s="6"/>
      <c r="E118" s="3"/>
    </row>
    <row r="119" spans="1:5" x14ac:dyDescent="0.2">
      <c r="A119" s="6"/>
      <c r="E119" s="3"/>
    </row>
    <row r="120" spans="1:5" x14ac:dyDescent="0.2">
      <c r="A120" s="6"/>
      <c r="E120" s="3"/>
    </row>
    <row r="121" spans="1:5" x14ac:dyDescent="0.2">
      <c r="A121" s="6"/>
      <c r="E121" s="3"/>
    </row>
    <row r="122" spans="1:5" x14ac:dyDescent="0.2">
      <c r="A122" s="6"/>
      <c r="E122" s="3"/>
    </row>
    <row r="123" spans="1:5" x14ac:dyDescent="0.2">
      <c r="A123" s="6"/>
      <c r="E123" s="3"/>
    </row>
    <row r="124" spans="1:5" x14ac:dyDescent="0.2">
      <c r="A124" s="6"/>
      <c r="E124" s="3"/>
    </row>
    <row r="125" spans="1:5" x14ac:dyDescent="0.2">
      <c r="A125" s="6"/>
      <c r="E125" s="3"/>
    </row>
    <row r="126" spans="1:5" x14ac:dyDescent="0.2">
      <c r="A126" s="6"/>
      <c r="E126" s="3"/>
    </row>
    <row r="127" spans="1:5" x14ac:dyDescent="0.2">
      <c r="A127" s="6"/>
      <c r="E127" s="3"/>
    </row>
    <row r="128" spans="1:5" x14ac:dyDescent="0.2">
      <c r="A128" s="6"/>
      <c r="E128" s="3"/>
    </row>
    <row r="129" spans="1:5" x14ac:dyDescent="0.2">
      <c r="A129" s="6"/>
      <c r="E129" s="3"/>
    </row>
    <row r="130" spans="1:5" x14ac:dyDescent="0.2">
      <c r="A130" s="6"/>
      <c r="E130" s="3"/>
    </row>
    <row r="131" spans="1:5" x14ac:dyDescent="0.2">
      <c r="A131" s="6"/>
      <c r="E131" s="3"/>
    </row>
    <row r="132" spans="1:5" x14ac:dyDescent="0.2">
      <c r="A132" s="6"/>
      <c r="E132" s="3"/>
    </row>
    <row r="133" spans="1:5" x14ac:dyDescent="0.2">
      <c r="A133" s="6"/>
      <c r="E133" s="3"/>
    </row>
    <row r="134" spans="1:5" x14ac:dyDescent="0.2">
      <c r="A134" s="6"/>
      <c r="E134" s="3"/>
    </row>
    <row r="135" spans="1:5" x14ac:dyDescent="0.2">
      <c r="A135" s="6"/>
      <c r="E135" s="3"/>
    </row>
    <row r="136" spans="1:5" x14ac:dyDescent="0.2">
      <c r="A136" s="6"/>
      <c r="E136" s="3"/>
    </row>
    <row r="137" spans="1:5" x14ac:dyDescent="0.2">
      <c r="A137" s="6"/>
      <c r="E137" s="3"/>
    </row>
    <row r="138" spans="1:5" x14ac:dyDescent="0.2">
      <c r="A138" s="6"/>
      <c r="E138" s="3"/>
    </row>
    <row r="139" spans="1:5" x14ac:dyDescent="0.2">
      <c r="A139" s="6"/>
      <c r="E139" s="3"/>
    </row>
    <row r="140" spans="1:5" x14ac:dyDescent="0.2">
      <c r="A140" s="6"/>
      <c r="E140" s="3"/>
    </row>
    <row r="141" spans="1:5" x14ac:dyDescent="0.2">
      <c r="A141" s="6"/>
      <c r="E141" s="3"/>
    </row>
    <row r="142" spans="1:5" x14ac:dyDescent="0.2">
      <c r="A142" s="6"/>
      <c r="E142" s="3"/>
    </row>
    <row r="143" spans="1:5" x14ac:dyDescent="0.2">
      <c r="A143" s="6"/>
      <c r="E143" s="3"/>
    </row>
    <row r="144" spans="1:5" x14ac:dyDescent="0.2">
      <c r="A144" s="6"/>
      <c r="E144" s="3"/>
    </row>
    <row r="145" spans="1:5" x14ac:dyDescent="0.2">
      <c r="A145" s="6"/>
      <c r="E145" s="3"/>
    </row>
    <row r="146" spans="1:5" x14ac:dyDescent="0.2">
      <c r="A146" s="6"/>
      <c r="E146" s="3"/>
    </row>
    <row r="147" spans="1:5" x14ac:dyDescent="0.2">
      <c r="A147" s="6"/>
      <c r="E147" s="3"/>
    </row>
    <row r="148" spans="1:5" x14ac:dyDescent="0.2">
      <c r="A148" s="6"/>
      <c r="E148" s="3"/>
    </row>
    <row r="149" spans="1:5" x14ac:dyDescent="0.2">
      <c r="A149" s="6"/>
      <c r="E149" s="3"/>
    </row>
    <row r="150" spans="1:5" x14ac:dyDescent="0.2">
      <c r="A150" s="6"/>
      <c r="E150" s="3"/>
    </row>
    <row r="151" spans="1:5" x14ac:dyDescent="0.2">
      <c r="A151" s="6"/>
      <c r="E151" s="3"/>
    </row>
    <row r="152" spans="1:5" x14ac:dyDescent="0.2">
      <c r="A152" s="6"/>
      <c r="E152" s="3"/>
    </row>
    <row r="153" spans="1:5" x14ac:dyDescent="0.2">
      <c r="A153" s="6"/>
      <c r="E153" s="3"/>
    </row>
    <row r="154" spans="1:5" x14ac:dyDescent="0.2">
      <c r="A154" s="6"/>
      <c r="E154" s="3"/>
    </row>
    <row r="155" spans="1:5" x14ac:dyDescent="0.2">
      <c r="A155" s="6"/>
      <c r="E155" s="3"/>
    </row>
    <row r="156" spans="1:5" x14ac:dyDescent="0.2">
      <c r="A156" s="6"/>
      <c r="E156" s="3"/>
    </row>
    <row r="157" spans="1:5" x14ac:dyDescent="0.2">
      <c r="A157" s="6"/>
      <c r="E157" s="3"/>
    </row>
    <row r="158" spans="1:5" x14ac:dyDescent="0.2">
      <c r="A158" s="6"/>
      <c r="E158" s="3"/>
    </row>
    <row r="159" spans="1:5" x14ac:dyDescent="0.2">
      <c r="A159" s="6"/>
      <c r="E159" s="3"/>
    </row>
    <row r="160" spans="1:5" x14ac:dyDescent="0.2">
      <c r="A160" s="6"/>
      <c r="E160" s="3"/>
    </row>
    <row r="161" spans="1:5" x14ac:dyDescent="0.2">
      <c r="A161" s="6"/>
      <c r="E161" s="3"/>
    </row>
    <row r="162" spans="1:5" x14ac:dyDescent="0.2">
      <c r="A162" s="6"/>
      <c r="E162" s="3"/>
    </row>
    <row r="163" spans="1:5" x14ac:dyDescent="0.2">
      <c r="A163" s="6"/>
      <c r="E163" s="3"/>
    </row>
    <row r="164" spans="1:5" x14ac:dyDescent="0.2">
      <c r="A164" s="6"/>
      <c r="E164" s="3"/>
    </row>
    <row r="165" spans="1:5" x14ac:dyDescent="0.2">
      <c r="A165" s="6"/>
      <c r="E165" s="3"/>
    </row>
    <row r="166" spans="1:5" x14ac:dyDescent="0.2">
      <c r="A166" s="6"/>
      <c r="E166" s="3"/>
    </row>
    <row r="167" spans="1:5" x14ac:dyDescent="0.2">
      <c r="A167" s="6"/>
      <c r="E167" s="3"/>
    </row>
    <row r="168" spans="1:5" x14ac:dyDescent="0.2">
      <c r="A168" s="6"/>
      <c r="E168" s="3"/>
    </row>
    <row r="169" spans="1:5" x14ac:dyDescent="0.2">
      <c r="A169" s="6"/>
      <c r="E169" s="3"/>
    </row>
    <row r="170" spans="1:5" x14ac:dyDescent="0.2">
      <c r="A170" s="6"/>
      <c r="E170" s="3"/>
    </row>
    <row r="171" spans="1:5" x14ac:dyDescent="0.2">
      <c r="A171" s="6"/>
      <c r="E171" s="3"/>
    </row>
    <row r="172" spans="1:5" x14ac:dyDescent="0.2">
      <c r="A172" s="6"/>
      <c r="E172" s="3"/>
    </row>
    <row r="173" spans="1:5" x14ac:dyDescent="0.2">
      <c r="A173" s="6"/>
      <c r="E173" s="3"/>
    </row>
    <row r="174" spans="1:5" x14ac:dyDescent="0.2">
      <c r="A174" s="6"/>
      <c r="E174" s="3"/>
    </row>
    <row r="175" spans="1:5" x14ac:dyDescent="0.2">
      <c r="A175" s="6"/>
      <c r="E175" s="3"/>
    </row>
    <row r="176" spans="1:5" x14ac:dyDescent="0.2">
      <c r="A176" s="6"/>
      <c r="E176" s="3"/>
    </row>
    <row r="177" spans="1:5" x14ac:dyDescent="0.2">
      <c r="A177" s="6"/>
      <c r="E177" s="3"/>
    </row>
    <row r="178" spans="1:5" x14ac:dyDescent="0.2">
      <c r="A178" s="6"/>
      <c r="E178" s="3"/>
    </row>
    <row r="179" spans="1:5" x14ac:dyDescent="0.2">
      <c r="A179" s="6"/>
      <c r="E179" s="3"/>
    </row>
    <row r="180" spans="1:5" x14ac:dyDescent="0.2">
      <c r="A180" s="6"/>
      <c r="E180" s="3"/>
    </row>
    <row r="181" spans="1:5" x14ac:dyDescent="0.2">
      <c r="A181" s="6"/>
      <c r="E181" s="3"/>
    </row>
    <row r="182" spans="1:5" x14ac:dyDescent="0.2">
      <c r="A182" s="6"/>
      <c r="E182" s="3"/>
    </row>
    <row r="183" spans="1:5" x14ac:dyDescent="0.2">
      <c r="A183" s="6"/>
      <c r="E183" s="3"/>
    </row>
    <row r="184" spans="1:5" x14ac:dyDescent="0.2">
      <c r="A184" s="6"/>
      <c r="E184" s="3"/>
    </row>
    <row r="185" spans="1:5" x14ac:dyDescent="0.2">
      <c r="A185" s="6"/>
      <c r="E185" s="3"/>
    </row>
    <row r="186" spans="1:5" x14ac:dyDescent="0.2">
      <c r="A186" s="6"/>
      <c r="E186" s="3"/>
    </row>
    <row r="187" spans="1:5" x14ac:dyDescent="0.2">
      <c r="A187" s="6"/>
      <c r="E187" s="3"/>
    </row>
    <row r="188" spans="1:5" x14ac:dyDescent="0.2">
      <c r="A188" s="6"/>
      <c r="E188" s="3"/>
    </row>
    <row r="189" spans="1:5" x14ac:dyDescent="0.2">
      <c r="A189" s="6"/>
      <c r="E189" s="3"/>
    </row>
    <row r="190" spans="1:5" x14ac:dyDescent="0.2">
      <c r="A190" s="6"/>
      <c r="E190" s="3"/>
    </row>
    <row r="191" spans="1:5" x14ac:dyDescent="0.2">
      <c r="A191" s="6"/>
      <c r="E191" s="3"/>
    </row>
    <row r="192" spans="1:5" x14ac:dyDescent="0.2">
      <c r="A192" s="6"/>
      <c r="E192" s="3"/>
    </row>
    <row r="193" spans="1:5" x14ac:dyDescent="0.2">
      <c r="A193" s="6"/>
      <c r="E193" s="3"/>
    </row>
    <row r="194" spans="1:5" x14ac:dyDescent="0.2">
      <c r="A194" s="6"/>
      <c r="E194" s="3"/>
    </row>
    <row r="195" spans="1:5" x14ac:dyDescent="0.2">
      <c r="A195" s="6"/>
      <c r="E195" s="3"/>
    </row>
    <row r="196" spans="1:5" x14ac:dyDescent="0.2">
      <c r="A196" s="6"/>
      <c r="E196" s="3"/>
    </row>
    <row r="197" spans="1:5" x14ac:dyDescent="0.2">
      <c r="A197" s="6"/>
      <c r="E197" s="3"/>
    </row>
    <row r="198" spans="1:5" x14ac:dyDescent="0.2">
      <c r="A198" s="6"/>
      <c r="E198" s="3"/>
    </row>
    <row r="199" spans="1:5" x14ac:dyDescent="0.2">
      <c r="A199" s="6"/>
      <c r="E199" s="3"/>
    </row>
    <row r="200" spans="1:5" x14ac:dyDescent="0.2">
      <c r="A200" s="6"/>
      <c r="E200" s="3"/>
    </row>
    <row r="201" spans="1:5" x14ac:dyDescent="0.2">
      <c r="A201" s="6"/>
      <c r="E201" s="3"/>
    </row>
    <row r="202" spans="1:5" x14ac:dyDescent="0.2">
      <c r="A202" s="6"/>
      <c r="E202" s="3"/>
    </row>
    <row r="203" spans="1:5" x14ac:dyDescent="0.2">
      <c r="A203" s="6"/>
      <c r="E203" s="3"/>
    </row>
    <row r="204" spans="1:5" x14ac:dyDescent="0.2">
      <c r="A204" s="6"/>
      <c r="E204" s="3"/>
    </row>
    <row r="205" spans="1:5" x14ac:dyDescent="0.2">
      <c r="A205" s="6"/>
      <c r="E205" s="3"/>
    </row>
    <row r="206" spans="1:5" x14ac:dyDescent="0.2">
      <c r="A206" s="6"/>
      <c r="E206" s="3"/>
    </row>
    <row r="207" spans="1:5" x14ac:dyDescent="0.2">
      <c r="A207" s="6"/>
      <c r="E207" s="3"/>
    </row>
    <row r="208" spans="1:5" x14ac:dyDescent="0.2">
      <c r="A208" s="6"/>
      <c r="E208" s="3"/>
    </row>
    <row r="209" spans="1:5" x14ac:dyDescent="0.2">
      <c r="A209" s="6"/>
      <c r="E209" s="3"/>
    </row>
    <row r="210" spans="1:5" x14ac:dyDescent="0.2">
      <c r="A210" s="6"/>
      <c r="E210" s="3"/>
    </row>
    <row r="211" spans="1:5" x14ac:dyDescent="0.2">
      <c r="A211" s="6"/>
      <c r="E211" s="3"/>
    </row>
    <row r="212" spans="1:5" x14ac:dyDescent="0.2">
      <c r="A212" s="6"/>
      <c r="E212" s="3"/>
    </row>
    <row r="213" spans="1:5" x14ac:dyDescent="0.2">
      <c r="A213" s="6"/>
      <c r="E213" s="3"/>
    </row>
    <row r="214" spans="1:5" x14ac:dyDescent="0.2">
      <c r="A214" s="6"/>
      <c r="E214" s="3"/>
    </row>
    <row r="215" spans="1:5" x14ac:dyDescent="0.2">
      <c r="A215" s="6"/>
      <c r="E215" s="3"/>
    </row>
    <row r="216" spans="1:5" x14ac:dyDescent="0.2">
      <c r="A216" s="6"/>
      <c r="E216" s="3"/>
    </row>
    <row r="217" spans="1:5" x14ac:dyDescent="0.2">
      <c r="A217" s="6"/>
      <c r="E217" s="3"/>
    </row>
    <row r="218" spans="1:5" x14ac:dyDescent="0.2">
      <c r="A218" s="6"/>
      <c r="E218" s="3"/>
    </row>
    <row r="219" spans="1:5" x14ac:dyDescent="0.2">
      <c r="A219" s="6"/>
      <c r="E219" s="3"/>
    </row>
    <row r="220" spans="1:5" x14ac:dyDescent="0.2">
      <c r="A220" s="6"/>
      <c r="E220" s="3"/>
    </row>
    <row r="221" spans="1:5" x14ac:dyDescent="0.2">
      <c r="A221" s="6"/>
      <c r="E221" s="3"/>
    </row>
    <row r="222" spans="1:5" x14ac:dyDescent="0.2">
      <c r="A222" s="6"/>
      <c r="E222" s="3"/>
    </row>
    <row r="223" spans="1:5" x14ac:dyDescent="0.2">
      <c r="A223" s="6"/>
      <c r="E223" s="3"/>
    </row>
    <row r="224" spans="1:5" x14ac:dyDescent="0.2">
      <c r="A224" s="6"/>
      <c r="E224" s="3"/>
    </row>
    <row r="225" spans="1:5" x14ac:dyDescent="0.2">
      <c r="A225" s="6"/>
      <c r="E225" s="3"/>
    </row>
    <row r="226" spans="1:5" x14ac:dyDescent="0.2">
      <c r="A226" s="6"/>
      <c r="E226" s="3"/>
    </row>
    <row r="227" spans="1:5" x14ac:dyDescent="0.2">
      <c r="A227" s="6"/>
      <c r="E227" s="3"/>
    </row>
    <row r="228" spans="1:5" x14ac:dyDescent="0.2">
      <c r="A228" s="6"/>
      <c r="E228" s="3"/>
    </row>
    <row r="229" spans="1:5" x14ac:dyDescent="0.2">
      <c r="A229" s="6"/>
      <c r="E229" s="3"/>
    </row>
    <row r="230" spans="1:5" x14ac:dyDescent="0.2">
      <c r="A230" s="6"/>
      <c r="E230" s="3"/>
    </row>
    <row r="231" spans="1:5" x14ac:dyDescent="0.2">
      <c r="A231" s="6"/>
      <c r="E231" s="3"/>
    </row>
    <row r="232" spans="1:5" x14ac:dyDescent="0.2">
      <c r="A232" s="6"/>
      <c r="E232" s="3"/>
    </row>
    <row r="233" spans="1:5" x14ac:dyDescent="0.2">
      <c r="A233" s="6"/>
      <c r="E233" s="3"/>
    </row>
    <row r="234" spans="1:5" x14ac:dyDescent="0.2">
      <c r="A234" s="6"/>
      <c r="E234" s="3"/>
    </row>
    <row r="235" spans="1:5" x14ac:dyDescent="0.2">
      <c r="A235" s="6"/>
      <c r="E235" s="3"/>
    </row>
    <row r="236" spans="1:5" x14ac:dyDescent="0.2">
      <c r="A236" s="6"/>
      <c r="E236" s="3"/>
    </row>
    <row r="237" spans="1:5" x14ac:dyDescent="0.2">
      <c r="A237" s="6"/>
      <c r="E237" s="3"/>
    </row>
    <row r="238" spans="1:5" x14ac:dyDescent="0.2">
      <c r="A238" s="6"/>
      <c r="E238" s="3"/>
    </row>
    <row r="239" spans="1:5" x14ac:dyDescent="0.2">
      <c r="A239" s="6"/>
      <c r="E239" s="3"/>
    </row>
    <row r="240" spans="1:5" x14ac:dyDescent="0.2">
      <c r="A240" s="6"/>
      <c r="E240" s="3"/>
    </row>
    <row r="241" spans="1:5" x14ac:dyDescent="0.2">
      <c r="A241" s="6"/>
      <c r="E241" s="3"/>
    </row>
    <row r="242" spans="1:5" x14ac:dyDescent="0.2">
      <c r="A242" s="6"/>
      <c r="E242" s="3"/>
    </row>
    <row r="243" spans="1:5" x14ac:dyDescent="0.2">
      <c r="A243" s="6"/>
      <c r="E243" s="3"/>
    </row>
    <row r="244" spans="1:5" x14ac:dyDescent="0.2">
      <c r="A244" s="6"/>
      <c r="E244" s="3"/>
    </row>
    <row r="245" spans="1:5" x14ac:dyDescent="0.2">
      <c r="A245" s="6"/>
      <c r="E245" s="3"/>
    </row>
    <row r="246" spans="1:5" x14ac:dyDescent="0.2">
      <c r="A246" s="6"/>
      <c r="E246" s="3"/>
    </row>
    <row r="247" spans="1:5" x14ac:dyDescent="0.2">
      <c r="A247" s="6"/>
      <c r="E247" s="3"/>
    </row>
    <row r="248" spans="1:5" x14ac:dyDescent="0.2">
      <c r="A248" s="6"/>
      <c r="E248" s="3"/>
    </row>
    <row r="249" spans="1:5" x14ac:dyDescent="0.2">
      <c r="A249" s="6"/>
      <c r="E249" s="3"/>
    </row>
    <row r="250" spans="1:5" x14ac:dyDescent="0.2">
      <c r="A250" s="6"/>
      <c r="E250" s="3"/>
    </row>
    <row r="251" spans="1:5" x14ac:dyDescent="0.2">
      <c r="A251" s="6"/>
      <c r="E251" s="3"/>
    </row>
    <row r="252" spans="1:5" x14ac:dyDescent="0.2">
      <c r="A252" s="6"/>
      <c r="E252" s="3"/>
    </row>
    <row r="253" spans="1:5" x14ac:dyDescent="0.2">
      <c r="A253" s="6"/>
      <c r="E253" s="3"/>
    </row>
    <row r="254" spans="1:5" x14ac:dyDescent="0.2">
      <c r="A254" s="6"/>
      <c r="E254" s="3"/>
    </row>
    <row r="255" spans="1:5" x14ac:dyDescent="0.2">
      <c r="A255" s="6"/>
      <c r="E255" s="3"/>
    </row>
    <row r="256" spans="1:5" x14ac:dyDescent="0.2">
      <c r="A256" s="6"/>
      <c r="E256" s="3"/>
    </row>
    <row r="257" spans="1:5" x14ac:dyDescent="0.2">
      <c r="A257" s="6"/>
      <c r="E257" s="3"/>
    </row>
    <row r="258" spans="1:5" x14ac:dyDescent="0.2">
      <c r="A258" s="6"/>
      <c r="E258" s="3"/>
    </row>
    <row r="259" spans="1:5" x14ac:dyDescent="0.2">
      <c r="A259" s="6"/>
      <c r="E259" s="3"/>
    </row>
    <row r="260" spans="1:5" x14ac:dyDescent="0.2">
      <c r="A260" s="6"/>
      <c r="E260" s="3"/>
    </row>
    <row r="261" spans="1:5" x14ac:dyDescent="0.2">
      <c r="A261" s="6"/>
      <c r="E261" s="3"/>
    </row>
    <row r="262" spans="1:5" x14ac:dyDescent="0.2">
      <c r="A262" s="6"/>
      <c r="E262" s="3"/>
    </row>
    <row r="263" spans="1:5" x14ac:dyDescent="0.2">
      <c r="A263" s="6"/>
      <c r="E263" s="3"/>
    </row>
    <row r="264" spans="1:5" x14ac:dyDescent="0.2">
      <c r="A264" s="6"/>
      <c r="E264" s="3"/>
    </row>
    <row r="265" spans="1:5" x14ac:dyDescent="0.2">
      <c r="A265" s="6"/>
      <c r="E265" s="3"/>
    </row>
    <row r="266" spans="1:5" x14ac:dyDescent="0.2">
      <c r="A266" s="6"/>
      <c r="E266" s="3"/>
    </row>
    <row r="267" spans="1:5" x14ac:dyDescent="0.2">
      <c r="A267" s="6"/>
      <c r="E267" s="3"/>
    </row>
    <row r="268" spans="1:5" x14ac:dyDescent="0.2">
      <c r="A268" s="6"/>
      <c r="E268" s="3"/>
    </row>
    <row r="269" spans="1:5" x14ac:dyDescent="0.2">
      <c r="A269" s="6"/>
      <c r="E269" s="3"/>
    </row>
    <row r="270" spans="1:5" x14ac:dyDescent="0.2">
      <c r="A270" s="6"/>
      <c r="E270" s="3"/>
    </row>
    <row r="271" spans="1:5" x14ac:dyDescent="0.2">
      <c r="A271" s="6"/>
      <c r="E271" s="3"/>
    </row>
    <row r="272" spans="1:5" x14ac:dyDescent="0.2">
      <c r="A272" s="6"/>
      <c r="E272" s="3"/>
    </row>
    <row r="273" spans="1:5" x14ac:dyDescent="0.2">
      <c r="A273" s="6"/>
      <c r="E273" s="3"/>
    </row>
    <row r="274" spans="1:5" x14ac:dyDescent="0.2">
      <c r="A274" s="6"/>
      <c r="E274" s="3"/>
    </row>
    <row r="275" spans="1:5" x14ac:dyDescent="0.2">
      <c r="A275" s="6"/>
      <c r="E275" s="3"/>
    </row>
    <row r="276" spans="1:5" x14ac:dyDescent="0.2">
      <c r="A276" s="6"/>
      <c r="E276" s="3"/>
    </row>
    <row r="277" spans="1:5" x14ac:dyDescent="0.2">
      <c r="A277" s="6"/>
      <c r="E277" s="3"/>
    </row>
    <row r="278" spans="1:5" x14ac:dyDescent="0.2">
      <c r="A278" s="6"/>
      <c r="E278" s="3"/>
    </row>
    <row r="279" spans="1:5" x14ac:dyDescent="0.2">
      <c r="A279" s="6"/>
      <c r="E279" s="3"/>
    </row>
    <row r="280" spans="1:5" x14ac:dyDescent="0.2">
      <c r="A280" s="6"/>
      <c r="E280" s="3"/>
    </row>
    <row r="281" spans="1:5" x14ac:dyDescent="0.2">
      <c r="A281" s="6"/>
      <c r="E281" s="3"/>
    </row>
    <row r="282" spans="1:5" x14ac:dyDescent="0.2">
      <c r="A282" s="6"/>
      <c r="E282" s="3"/>
    </row>
    <row r="283" spans="1:5" x14ac:dyDescent="0.2">
      <c r="A283" s="6"/>
      <c r="E283" s="3"/>
    </row>
    <row r="284" spans="1:5" x14ac:dyDescent="0.2">
      <c r="A284" s="6"/>
      <c r="E284" s="3"/>
    </row>
    <row r="285" spans="1:5" x14ac:dyDescent="0.2">
      <c r="A285" s="6"/>
      <c r="E285" s="3"/>
    </row>
    <row r="286" spans="1:5" x14ac:dyDescent="0.2">
      <c r="A286" s="6"/>
      <c r="E286" s="3"/>
    </row>
    <row r="287" spans="1:5" x14ac:dyDescent="0.2">
      <c r="A287" s="6"/>
      <c r="E287" s="3"/>
    </row>
    <row r="288" spans="1:5" x14ac:dyDescent="0.2">
      <c r="A288" s="6"/>
      <c r="E288" s="3"/>
    </row>
    <row r="289" spans="1:5" x14ac:dyDescent="0.2">
      <c r="A289" s="6"/>
      <c r="E289" s="3"/>
    </row>
    <row r="290" spans="1:5" x14ac:dyDescent="0.2">
      <c r="A290" s="6"/>
      <c r="E290" s="3"/>
    </row>
    <row r="291" spans="1:5" x14ac:dyDescent="0.2">
      <c r="A291" s="6"/>
      <c r="E291" s="3"/>
    </row>
    <row r="292" spans="1:5" x14ac:dyDescent="0.2">
      <c r="A292" s="6"/>
      <c r="E292" s="3"/>
    </row>
    <row r="293" spans="1:5" x14ac:dyDescent="0.2">
      <c r="A293" s="6"/>
      <c r="E293" s="3"/>
    </row>
    <row r="294" spans="1:5" x14ac:dyDescent="0.2">
      <c r="A294" s="6"/>
      <c r="E294" s="3"/>
    </row>
    <row r="295" spans="1:5" x14ac:dyDescent="0.2">
      <c r="A295" s="6"/>
      <c r="E295" s="3"/>
    </row>
    <row r="296" spans="1:5" x14ac:dyDescent="0.2">
      <c r="A296" s="6"/>
      <c r="E296" s="3"/>
    </row>
    <row r="297" spans="1:5" x14ac:dyDescent="0.2">
      <c r="A297" s="6"/>
      <c r="E297" s="3"/>
    </row>
    <row r="298" spans="1:5" x14ac:dyDescent="0.2">
      <c r="A298" s="6"/>
      <c r="E298" s="3"/>
    </row>
    <row r="299" spans="1:5" x14ac:dyDescent="0.2">
      <c r="A299" s="6"/>
      <c r="E299" s="3"/>
    </row>
    <row r="300" spans="1:5" x14ac:dyDescent="0.2">
      <c r="A300" s="6"/>
      <c r="E300" s="3"/>
    </row>
    <row r="301" spans="1:5" x14ac:dyDescent="0.2">
      <c r="A301" s="6"/>
      <c r="E301" s="3"/>
    </row>
    <row r="302" spans="1:5" x14ac:dyDescent="0.2">
      <c r="A302" s="6"/>
      <c r="E302" s="3"/>
    </row>
    <row r="303" spans="1:5" x14ac:dyDescent="0.2">
      <c r="A303" s="6"/>
      <c r="E303" s="3"/>
    </row>
    <row r="304" spans="1:5" x14ac:dyDescent="0.2">
      <c r="A304" s="6"/>
      <c r="E304" s="3"/>
    </row>
    <row r="305" spans="1:5" x14ac:dyDescent="0.2">
      <c r="A305" s="6"/>
      <c r="E305" s="3"/>
    </row>
    <row r="306" spans="1:5" x14ac:dyDescent="0.2">
      <c r="A306" s="6"/>
      <c r="E306" s="3"/>
    </row>
    <row r="307" spans="1:5" x14ac:dyDescent="0.2">
      <c r="A307" s="6"/>
      <c r="E307" s="3"/>
    </row>
    <row r="308" spans="1:5" x14ac:dyDescent="0.2">
      <c r="A308" s="6"/>
      <c r="E308" s="3"/>
    </row>
    <row r="309" spans="1:5" x14ac:dyDescent="0.2">
      <c r="A309" s="6"/>
      <c r="E309" s="3"/>
    </row>
    <row r="310" spans="1:5" x14ac:dyDescent="0.2">
      <c r="A310" s="6"/>
      <c r="E310" s="3"/>
    </row>
    <row r="311" spans="1:5" x14ac:dyDescent="0.2">
      <c r="A311" s="6"/>
      <c r="E311" s="3"/>
    </row>
    <row r="312" spans="1:5" x14ac:dyDescent="0.2">
      <c r="A312" s="6"/>
      <c r="E312" s="3"/>
    </row>
    <row r="313" spans="1:5" x14ac:dyDescent="0.2">
      <c r="A313" s="6"/>
      <c r="E313" s="3"/>
    </row>
    <row r="314" spans="1:5" x14ac:dyDescent="0.2">
      <c r="A314" s="6"/>
      <c r="E314" s="3"/>
    </row>
    <row r="315" spans="1:5" x14ac:dyDescent="0.2">
      <c r="A315" s="6"/>
      <c r="E315" s="3"/>
    </row>
    <row r="316" spans="1:5" x14ac:dyDescent="0.2">
      <c r="A316" s="6"/>
      <c r="E316" s="3"/>
    </row>
    <row r="317" spans="1:5" x14ac:dyDescent="0.2">
      <c r="A317" s="6"/>
      <c r="E317" s="3"/>
    </row>
    <row r="318" spans="1:5" x14ac:dyDescent="0.2">
      <c r="A318" s="6"/>
      <c r="E318" s="3"/>
    </row>
    <row r="319" spans="1:5" x14ac:dyDescent="0.2">
      <c r="A319" s="6"/>
      <c r="E319" s="3"/>
    </row>
    <row r="320" spans="1:5" x14ac:dyDescent="0.2">
      <c r="A320" s="6"/>
      <c r="E320" s="3"/>
    </row>
    <row r="321" spans="1:5" x14ac:dyDescent="0.2">
      <c r="A321" s="6"/>
      <c r="E321" s="3"/>
    </row>
    <row r="322" spans="1:5" x14ac:dyDescent="0.2">
      <c r="A322" s="6"/>
      <c r="E322" s="3"/>
    </row>
    <row r="323" spans="1:5" x14ac:dyDescent="0.2">
      <c r="A323" s="6"/>
      <c r="E323" s="3"/>
    </row>
    <row r="324" spans="1:5" x14ac:dyDescent="0.2">
      <c r="A324" s="6"/>
      <c r="E324" s="3"/>
    </row>
    <row r="325" spans="1:5" x14ac:dyDescent="0.2">
      <c r="A325" s="6"/>
      <c r="E325" s="3"/>
    </row>
    <row r="326" spans="1:5" x14ac:dyDescent="0.2">
      <c r="A326" s="6"/>
      <c r="E326" s="3"/>
    </row>
    <row r="327" spans="1:5" x14ac:dyDescent="0.2">
      <c r="A327" s="6"/>
      <c r="E327" s="3"/>
    </row>
    <row r="328" spans="1:5" x14ac:dyDescent="0.2">
      <c r="A328" s="6"/>
      <c r="E328" s="3"/>
    </row>
    <row r="329" spans="1:5" x14ac:dyDescent="0.2">
      <c r="A329" s="6"/>
      <c r="E329" s="3"/>
    </row>
    <row r="330" spans="1:5" x14ac:dyDescent="0.2">
      <c r="A330" s="6"/>
      <c r="E330" s="3"/>
    </row>
    <row r="331" spans="1:5" x14ac:dyDescent="0.2">
      <c r="A331" s="6"/>
      <c r="E331" s="3"/>
    </row>
    <row r="332" spans="1:5" x14ac:dyDescent="0.2">
      <c r="A332" s="6"/>
      <c r="E332" s="3"/>
    </row>
    <row r="333" spans="1:5" x14ac:dyDescent="0.2">
      <c r="A333" s="6"/>
      <c r="E333" s="3"/>
    </row>
    <row r="334" spans="1:5" x14ac:dyDescent="0.2">
      <c r="A334" s="6"/>
      <c r="E334" s="3"/>
    </row>
    <row r="335" spans="1:5" x14ac:dyDescent="0.2">
      <c r="A335" s="6"/>
      <c r="E335" s="3"/>
    </row>
    <row r="336" spans="1:5" x14ac:dyDescent="0.2">
      <c r="A336" s="6"/>
      <c r="E336" s="3"/>
    </row>
    <row r="337" spans="1:5" x14ac:dyDescent="0.2">
      <c r="A337" s="6"/>
      <c r="E337" s="3"/>
    </row>
    <row r="338" spans="1:5" x14ac:dyDescent="0.2">
      <c r="A338" s="6"/>
      <c r="E338" s="3"/>
    </row>
    <row r="339" spans="1:5" x14ac:dyDescent="0.2">
      <c r="A339" s="6"/>
      <c r="E339" s="3"/>
    </row>
    <row r="340" spans="1:5" x14ac:dyDescent="0.2">
      <c r="A340" s="6"/>
      <c r="E340" s="3"/>
    </row>
    <row r="341" spans="1:5" x14ac:dyDescent="0.2">
      <c r="A341" s="6"/>
      <c r="E341" s="3"/>
    </row>
    <row r="342" spans="1:5" x14ac:dyDescent="0.2">
      <c r="A342" s="6"/>
      <c r="E342" s="3"/>
    </row>
    <row r="343" spans="1:5" x14ac:dyDescent="0.2">
      <c r="A343" s="6"/>
      <c r="E343" s="3"/>
    </row>
    <row r="344" spans="1:5" x14ac:dyDescent="0.2">
      <c r="A344" s="6"/>
      <c r="E344" s="3"/>
    </row>
    <row r="345" spans="1:5" x14ac:dyDescent="0.2">
      <c r="A345" s="6"/>
      <c r="E345" s="3"/>
    </row>
    <row r="346" spans="1:5" x14ac:dyDescent="0.2">
      <c r="A346" s="6"/>
      <c r="E346" s="3"/>
    </row>
    <row r="347" spans="1:5" x14ac:dyDescent="0.2">
      <c r="A347" s="6"/>
      <c r="E347" s="3"/>
    </row>
    <row r="348" spans="1:5" x14ac:dyDescent="0.2">
      <c r="A348" s="6"/>
      <c r="E348" s="3"/>
    </row>
    <row r="349" spans="1:5" x14ac:dyDescent="0.2">
      <c r="A349" s="6"/>
      <c r="E349" s="3"/>
    </row>
    <row r="350" spans="1:5" x14ac:dyDescent="0.2">
      <c r="A350" s="6"/>
      <c r="E350" s="3"/>
    </row>
    <row r="351" spans="1:5" x14ac:dyDescent="0.2">
      <c r="A351" s="6"/>
      <c r="E351" s="3"/>
    </row>
    <row r="352" spans="1:5" x14ac:dyDescent="0.2">
      <c r="A352" s="6"/>
      <c r="E352" s="3"/>
    </row>
    <row r="353" spans="1:5" x14ac:dyDescent="0.2">
      <c r="A353" s="6"/>
      <c r="E353" s="3"/>
    </row>
    <row r="354" spans="1:5" x14ac:dyDescent="0.2">
      <c r="A354" s="6"/>
      <c r="E354" s="3"/>
    </row>
    <row r="355" spans="1:5" x14ac:dyDescent="0.2">
      <c r="A355" s="6"/>
      <c r="E355" s="3"/>
    </row>
    <row r="356" spans="1:5" x14ac:dyDescent="0.2">
      <c r="A356" s="6"/>
      <c r="E356" s="3"/>
    </row>
    <row r="357" spans="1:5" x14ac:dyDescent="0.2">
      <c r="A357" s="6"/>
      <c r="E357" s="3"/>
    </row>
    <row r="358" spans="1:5" x14ac:dyDescent="0.2">
      <c r="A358" s="6"/>
      <c r="E358" s="3"/>
    </row>
    <row r="359" spans="1:5" x14ac:dyDescent="0.2">
      <c r="A359" s="6"/>
      <c r="E359" s="3"/>
    </row>
    <row r="360" spans="1:5" x14ac:dyDescent="0.2">
      <c r="A360" s="6"/>
      <c r="E360" s="3"/>
    </row>
    <row r="361" spans="1:5" x14ac:dyDescent="0.2">
      <c r="A361" s="6"/>
      <c r="E361" s="3"/>
    </row>
    <row r="362" spans="1:5" x14ac:dyDescent="0.2">
      <c r="A362" s="6"/>
      <c r="E362" s="3"/>
    </row>
    <row r="363" spans="1:5" x14ac:dyDescent="0.2">
      <c r="A363" s="6"/>
      <c r="E363" s="3"/>
    </row>
    <row r="364" spans="1:5" x14ac:dyDescent="0.2">
      <c r="A364" s="6"/>
      <c r="E364" s="3"/>
    </row>
    <row r="365" spans="1:5" x14ac:dyDescent="0.2">
      <c r="A365" s="6"/>
      <c r="E365" s="3"/>
    </row>
    <row r="366" spans="1:5" x14ac:dyDescent="0.2">
      <c r="A366" s="6"/>
      <c r="E366" s="3"/>
    </row>
    <row r="367" spans="1:5" x14ac:dyDescent="0.2">
      <c r="A367" s="6"/>
      <c r="E367" s="3"/>
    </row>
    <row r="368" spans="1:5" x14ac:dyDescent="0.2">
      <c r="A368" s="6"/>
      <c r="E368" s="3"/>
    </row>
    <row r="369" spans="1:5" x14ac:dyDescent="0.2">
      <c r="A369" s="6"/>
      <c r="E369" s="3"/>
    </row>
    <row r="370" spans="1:5" x14ac:dyDescent="0.2">
      <c r="A370" s="6"/>
      <c r="E370" s="3"/>
    </row>
    <row r="371" spans="1:5" x14ac:dyDescent="0.2">
      <c r="A371" s="6"/>
      <c r="E371" s="3"/>
    </row>
    <row r="372" spans="1:5" x14ac:dyDescent="0.2">
      <c r="A372" s="6"/>
      <c r="E372" s="3"/>
    </row>
    <row r="373" spans="1:5" x14ac:dyDescent="0.2">
      <c r="A373" s="6"/>
      <c r="E373" s="3"/>
    </row>
    <row r="374" spans="1:5" x14ac:dyDescent="0.2">
      <c r="A374" s="6"/>
      <c r="E374" s="3"/>
    </row>
    <row r="375" spans="1:5" x14ac:dyDescent="0.2">
      <c r="A375" s="6"/>
      <c r="E375" s="3"/>
    </row>
    <row r="376" spans="1:5" x14ac:dyDescent="0.2">
      <c r="A376" s="6"/>
      <c r="E376" s="3"/>
    </row>
    <row r="377" spans="1:5" x14ac:dyDescent="0.2">
      <c r="A377" s="6"/>
      <c r="E377" s="3"/>
    </row>
    <row r="378" spans="1:5" x14ac:dyDescent="0.2">
      <c r="A378" s="6"/>
      <c r="E378" s="3"/>
    </row>
    <row r="379" spans="1:5" x14ac:dyDescent="0.2">
      <c r="A379" s="6"/>
      <c r="E379" s="3"/>
    </row>
    <row r="380" spans="1:5" x14ac:dyDescent="0.2">
      <c r="A380" s="6"/>
      <c r="E380" s="3"/>
    </row>
    <row r="381" spans="1:5" x14ac:dyDescent="0.2">
      <c r="A381" s="6"/>
      <c r="E381" s="3"/>
    </row>
    <row r="382" spans="1:5" x14ac:dyDescent="0.2">
      <c r="A382" s="6"/>
      <c r="E382" s="3"/>
    </row>
    <row r="383" spans="1:5" x14ac:dyDescent="0.2">
      <c r="A383" s="6"/>
      <c r="E383" s="3"/>
    </row>
    <row r="384" spans="1:5" x14ac:dyDescent="0.2">
      <c r="A384" s="6"/>
      <c r="E384" s="3"/>
    </row>
    <row r="385" spans="1:5" x14ac:dyDescent="0.2">
      <c r="A385" s="6"/>
      <c r="E385" s="3"/>
    </row>
    <row r="386" spans="1:5" x14ac:dyDescent="0.2">
      <c r="A386" s="6"/>
      <c r="E386" s="3"/>
    </row>
    <row r="387" spans="1:5" x14ac:dyDescent="0.2">
      <c r="A387" s="6"/>
      <c r="E387" s="3"/>
    </row>
    <row r="388" spans="1:5" x14ac:dyDescent="0.2">
      <c r="A388" s="6"/>
      <c r="E388" s="3"/>
    </row>
    <row r="389" spans="1:5" x14ac:dyDescent="0.2">
      <c r="A389" s="6"/>
      <c r="E389" s="3"/>
    </row>
    <row r="390" spans="1:5" x14ac:dyDescent="0.2">
      <c r="A390" s="6"/>
      <c r="E390" s="3"/>
    </row>
    <row r="391" spans="1:5" x14ac:dyDescent="0.2">
      <c r="A391" s="6"/>
      <c r="E391" s="3"/>
    </row>
    <row r="392" spans="1:5" x14ac:dyDescent="0.2">
      <c r="A392" s="6"/>
      <c r="E392" s="3"/>
    </row>
    <row r="393" spans="1:5" x14ac:dyDescent="0.2">
      <c r="A393" s="6"/>
      <c r="E393" s="3"/>
    </row>
    <row r="394" spans="1:5" x14ac:dyDescent="0.2">
      <c r="A394" s="6"/>
      <c r="E394" s="3"/>
    </row>
    <row r="395" spans="1:5" x14ac:dyDescent="0.2">
      <c r="A395" s="6"/>
      <c r="E395" s="3"/>
    </row>
    <row r="396" spans="1:5" x14ac:dyDescent="0.2">
      <c r="A396" s="6"/>
      <c r="E396" s="3"/>
    </row>
    <row r="397" spans="1:5" x14ac:dyDescent="0.2">
      <c r="A397" s="6"/>
      <c r="E397" s="3"/>
    </row>
    <row r="398" spans="1:5" x14ac:dyDescent="0.2">
      <c r="A398" s="6"/>
      <c r="E398" s="3"/>
    </row>
    <row r="399" spans="1:5" x14ac:dyDescent="0.2">
      <c r="A399" s="6"/>
      <c r="E399" s="3"/>
    </row>
    <row r="400" spans="1:5" x14ac:dyDescent="0.2">
      <c r="A400" s="6"/>
      <c r="E400" s="3"/>
    </row>
    <row r="401" spans="1:5" x14ac:dyDescent="0.2">
      <c r="A401" s="6"/>
      <c r="E401" s="3"/>
    </row>
    <row r="402" spans="1:5" x14ac:dyDescent="0.2">
      <c r="A402" s="6"/>
      <c r="E402" s="3"/>
    </row>
    <row r="403" spans="1:5" x14ac:dyDescent="0.2">
      <c r="A403" s="6"/>
      <c r="E403" s="3"/>
    </row>
    <row r="404" spans="1:5" x14ac:dyDescent="0.2">
      <c r="A404" s="6"/>
      <c r="E404" s="3"/>
    </row>
    <row r="405" spans="1:5" x14ac:dyDescent="0.2">
      <c r="A405" s="6"/>
      <c r="E405" s="3"/>
    </row>
    <row r="406" spans="1:5" x14ac:dyDescent="0.2">
      <c r="A406" s="6"/>
      <c r="E406" s="3"/>
    </row>
    <row r="407" spans="1:5" x14ac:dyDescent="0.2">
      <c r="A407" s="6"/>
      <c r="E407" s="3"/>
    </row>
    <row r="408" spans="1:5" x14ac:dyDescent="0.2">
      <c r="A408" s="6"/>
      <c r="E408" s="3"/>
    </row>
    <row r="409" spans="1:5" x14ac:dyDescent="0.2">
      <c r="A409" s="6"/>
      <c r="E409" s="3"/>
    </row>
    <row r="410" spans="1:5" x14ac:dyDescent="0.2">
      <c r="A410" s="6"/>
      <c r="E410" s="3"/>
    </row>
    <row r="411" spans="1:5" x14ac:dyDescent="0.2">
      <c r="A411" s="6"/>
      <c r="E411" s="3"/>
    </row>
    <row r="412" spans="1:5" x14ac:dyDescent="0.2">
      <c r="A412" s="6"/>
      <c r="E412" s="3"/>
    </row>
    <row r="413" spans="1:5" x14ac:dyDescent="0.2">
      <c r="A413" s="6"/>
      <c r="E413" s="3"/>
    </row>
    <row r="414" spans="1:5" x14ac:dyDescent="0.2">
      <c r="A414" s="6"/>
      <c r="E414" s="3"/>
    </row>
    <row r="415" spans="1:5" x14ac:dyDescent="0.2">
      <c r="A415" s="6"/>
      <c r="E415" s="3"/>
    </row>
    <row r="416" spans="1:5" x14ac:dyDescent="0.2">
      <c r="A416" s="6"/>
      <c r="E416" s="3"/>
    </row>
    <row r="417" spans="1:5" x14ac:dyDescent="0.2">
      <c r="A417" s="6"/>
      <c r="E417" s="3"/>
    </row>
    <row r="418" spans="1:5" x14ac:dyDescent="0.2">
      <c r="A418" s="6"/>
      <c r="E418" s="3"/>
    </row>
    <row r="419" spans="1:5" x14ac:dyDescent="0.2">
      <c r="A419" s="6"/>
      <c r="E419" s="3"/>
    </row>
    <row r="420" spans="1:5" x14ac:dyDescent="0.2">
      <c r="A420" s="6"/>
      <c r="E420" s="3"/>
    </row>
    <row r="421" spans="1:5" x14ac:dyDescent="0.2">
      <c r="A421" s="6"/>
      <c r="E421" s="3"/>
    </row>
    <row r="422" spans="1:5" x14ac:dyDescent="0.2">
      <c r="A422" s="6"/>
      <c r="E422" s="3"/>
    </row>
    <row r="423" spans="1:5" x14ac:dyDescent="0.2">
      <c r="A423" s="6"/>
      <c r="E423" s="3"/>
    </row>
    <row r="424" spans="1:5" x14ac:dyDescent="0.2">
      <c r="A424" s="6"/>
      <c r="E424" s="3"/>
    </row>
    <row r="425" spans="1:5" x14ac:dyDescent="0.2">
      <c r="A425" s="6"/>
      <c r="E425" s="3"/>
    </row>
    <row r="426" spans="1:5" x14ac:dyDescent="0.2">
      <c r="A426" s="6"/>
      <c r="E426" s="3"/>
    </row>
    <row r="427" spans="1:5" x14ac:dyDescent="0.2">
      <c r="A427" s="6"/>
      <c r="E427" s="3"/>
    </row>
    <row r="428" spans="1:5" x14ac:dyDescent="0.2">
      <c r="A428" s="6"/>
      <c r="E428" s="3"/>
    </row>
    <row r="429" spans="1:5" x14ac:dyDescent="0.2">
      <c r="A429" s="6"/>
      <c r="E429" s="3"/>
    </row>
    <row r="430" spans="1:5" x14ac:dyDescent="0.2">
      <c r="A430" s="6"/>
      <c r="E430" s="3"/>
    </row>
    <row r="431" spans="1:5" x14ac:dyDescent="0.2">
      <c r="A431" s="6"/>
      <c r="E431" s="3"/>
    </row>
    <row r="432" spans="1:5" x14ac:dyDescent="0.2">
      <c r="A432" s="6"/>
      <c r="E432" s="3"/>
    </row>
    <row r="433" spans="1:5" x14ac:dyDescent="0.2">
      <c r="A433" s="6"/>
      <c r="E433" s="3"/>
    </row>
    <row r="434" spans="1:5" x14ac:dyDescent="0.2">
      <c r="A434" s="6"/>
      <c r="E434" s="3"/>
    </row>
    <row r="435" spans="1:5" x14ac:dyDescent="0.2">
      <c r="A435" s="6"/>
      <c r="E435" s="3"/>
    </row>
    <row r="436" spans="1:5" x14ac:dyDescent="0.2">
      <c r="A436" s="6"/>
      <c r="E436" s="3"/>
    </row>
    <row r="437" spans="1:5" x14ac:dyDescent="0.2">
      <c r="A437" s="6"/>
      <c r="E437" s="3"/>
    </row>
    <row r="438" spans="1:5" x14ac:dyDescent="0.2">
      <c r="A438" s="6"/>
      <c r="E438" s="3"/>
    </row>
    <row r="439" spans="1:5" x14ac:dyDescent="0.2">
      <c r="A439" s="6"/>
      <c r="E439" s="3"/>
    </row>
    <row r="440" spans="1:5" x14ac:dyDescent="0.2">
      <c r="A440" s="6"/>
      <c r="E440" s="3"/>
    </row>
    <row r="441" spans="1:5" x14ac:dyDescent="0.2">
      <c r="A441" s="6"/>
      <c r="E441" s="3"/>
    </row>
    <row r="442" spans="1:5" x14ac:dyDescent="0.2">
      <c r="A442" s="6"/>
      <c r="E442" s="3"/>
    </row>
    <row r="443" spans="1:5" x14ac:dyDescent="0.2">
      <c r="A443" s="6"/>
      <c r="E443" s="3"/>
    </row>
    <row r="444" spans="1:5" x14ac:dyDescent="0.2">
      <c r="A444" s="6"/>
      <c r="E444" s="3"/>
    </row>
    <row r="445" spans="1:5" x14ac:dyDescent="0.2">
      <c r="A445" s="6"/>
      <c r="E445" s="3"/>
    </row>
    <row r="446" spans="1:5" x14ac:dyDescent="0.2">
      <c r="A446" s="6"/>
      <c r="E446" s="3"/>
    </row>
    <row r="447" spans="1:5" x14ac:dyDescent="0.2">
      <c r="A447" s="6"/>
      <c r="E447" s="3"/>
    </row>
    <row r="448" spans="1:5" x14ac:dyDescent="0.2">
      <c r="A448" s="6"/>
      <c r="E448" s="3"/>
    </row>
    <row r="449" spans="1:5" x14ac:dyDescent="0.2">
      <c r="A449" s="6"/>
      <c r="E449" s="3"/>
    </row>
    <row r="450" spans="1:5" x14ac:dyDescent="0.2">
      <c r="A450" s="6"/>
      <c r="E450" s="3"/>
    </row>
    <row r="451" spans="1:5" x14ac:dyDescent="0.2">
      <c r="A451" s="6"/>
      <c r="E451" s="3"/>
    </row>
    <row r="452" spans="1:5" x14ac:dyDescent="0.2">
      <c r="A452" s="6"/>
      <c r="E452" s="3"/>
    </row>
    <row r="453" spans="1:5" x14ac:dyDescent="0.2">
      <c r="A453" s="6"/>
      <c r="E453" s="3"/>
    </row>
    <row r="454" spans="1:5" x14ac:dyDescent="0.2">
      <c r="A454" s="6"/>
      <c r="E454" s="3"/>
    </row>
    <row r="455" spans="1:5" x14ac:dyDescent="0.2">
      <c r="A455" s="6"/>
      <c r="E455" s="3"/>
    </row>
    <row r="456" spans="1:5" x14ac:dyDescent="0.2">
      <c r="A456" s="6"/>
      <c r="E456" s="3"/>
    </row>
    <row r="457" spans="1:5" x14ac:dyDescent="0.2">
      <c r="A457" s="6"/>
      <c r="E457" s="3"/>
    </row>
    <row r="458" spans="1:5" x14ac:dyDescent="0.2">
      <c r="A458" s="6"/>
      <c r="E458" s="3"/>
    </row>
    <row r="459" spans="1:5" x14ac:dyDescent="0.2">
      <c r="A459" s="6"/>
      <c r="E459" s="3"/>
    </row>
    <row r="460" spans="1:5" x14ac:dyDescent="0.2">
      <c r="A460" s="6"/>
      <c r="E460" s="3"/>
    </row>
    <row r="461" spans="1:5" x14ac:dyDescent="0.2">
      <c r="A461" s="6"/>
      <c r="E461" s="3"/>
    </row>
    <row r="462" spans="1:5" x14ac:dyDescent="0.2">
      <c r="A462" s="6"/>
      <c r="E462" s="3"/>
    </row>
    <row r="463" spans="1:5" x14ac:dyDescent="0.2">
      <c r="A463" s="6"/>
      <c r="E463" s="3"/>
    </row>
    <row r="464" spans="1:5" x14ac:dyDescent="0.2">
      <c r="A464" s="6"/>
      <c r="E464" s="3"/>
    </row>
    <row r="465" spans="1:5" x14ac:dyDescent="0.2">
      <c r="A465" s="6"/>
      <c r="E465" s="3"/>
    </row>
    <row r="466" spans="1:5" x14ac:dyDescent="0.2">
      <c r="A466" s="6"/>
      <c r="E466" s="3"/>
    </row>
    <row r="467" spans="1:5" x14ac:dyDescent="0.2">
      <c r="A467" s="6"/>
      <c r="E467" s="3"/>
    </row>
    <row r="468" spans="1:5" x14ac:dyDescent="0.2">
      <c r="A468" s="6"/>
      <c r="E468" s="3"/>
    </row>
    <row r="469" spans="1:5" x14ac:dyDescent="0.2">
      <c r="A469" s="6"/>
      <c r="E469" s="3"/>
    </row>
    <row r="470" spans="1:5" x14ac:dyDescent="0.2">
      <c r="A470" s="6"/>
      <c r="E470" s="3"/>
    </row>
    <row r="471" spans="1:5" x14ac:dyDescent="0.2">
      <c r="A471" s="6"/>
      <c r="E471" s="3"/>
    </row>
    <row r="472" spans="1:5" x14ac:dyDescent="0.2">
      <c r="A472" s="6"/>
      <c r="E472" s="3"/>
    </row>
    <row r="473" spans="1:5" x14ac:dyDescent="0.2">
      <c r="A473" s="6"/>
      <c r="E473" s="3"/>
    </row>
    <row r="474" spans="1:5" x14ac:dyDescent="0.2">
      <c r="A474" s="6"/>
      <c r="E474" s="3"/>
    </row>
    <row r="475" spans="1:5" x14ac:dyDescent="0.2">
      <c r="A475" s="6"/>
      <c r="E475" s="3"/>
    </row>
    <row r="476" spans="1:5" x14ac:dyDescent="0.2">
      <c r="A476" s="6"/>
      <c r="E476" s="3"/>
    </row>
    <row r="477" spans="1:5" x14ac:dyDescent="0.2">
      <c r="A477" s="6"/>
      <c r="E477" s="3"/>
    </row>
    <row r="478" spans="1:5" x14ac:dyDescent="0.2">
      <c r="A478" s="6"/>
      <c r="E478" s="3"/>
    </row>
    <row r="479" spans="1:5" x14ac:dyDescent="0.2">
      <c r="A479" s="6"/>
      <c r="E479" s="3"/>
    </row>
    <row r="480" spans="1:5" x14ac:dyDescent="0.2">
      <c r="A480" s="6"/>
      <c r="E480" s="3"/>
    </row>
    <row r="481" spans="1:5" x14ac:dyDescent="0.2">
      <c r="A481" s="6"/>
      <c r="E481" s="3"/>
    </row>
    <row r="482" spans="1:5" x14ac:dyDescent="0.2">
      <c r="A482" s="6"/>
      <c r="E482" s="3"/>
    </row>
    <row r="483" spans="1:5" x14ac:dyDescent="0.2">
      <c r="A483" s="6"/>
      <c r="E483" s="3"/>
    </row>
    <row r="484" spans="1:5" x14ac:dyDescent="0.2">
      <c r="A484" s="6"/>
      <c r="E484" s="3"/>
    </row>
    <row r="485" spans="1:5" x14ac:dyDescent="0.2">
      <c r="A485" s="6"/>
      <c r="E485" s="3"/>
    </row>
    <row r="486" spans="1:5" x14ac:dyDescent="0.2">
      <c r="A486" s="6"/>
      <c r="E486" s="3"/>
    </row>
    <row r="487" spans="1:5" x14ac:dyDescent="0.2">
      <c r="A487" s="6"/>
      <c r="E487" s="3"/>
    </row>
    <row r="488" spans="1:5" x14ac:dyDescent="0.2">
      <c r="A488" s="6"/>
      <c r="E488" s="3"/>
    </row>
    <row r="489" spans="1:5" x14ac:dyDescent="0.2">
      <c r="A489" s="6"/>
      <c r="E489" s="3"/>
    </row>
    <row r="490" spans="1:5" x14ac:dyDescent="0.2">
      <c r="A490" s="6"/>
      <c r="E490" s="3"/>
    </row>
    <row r="491" spans="1:5" x14ac:dyDescent="0.2">
      <c r="A491" s="6"/>
      <c r="E491" s="3"/>
    </row>
    <row r="492" spans="1:5" x14ac:dyDescent="0.2">
      <c r="A492" s="6"/>
      <c r="E492" s="3"/>
    </row>
    <row r="493" spans="1:5" x14ac:dyDescent="0.2">
      <c r="A493" s="6"/>
      <c r="E493" s="3"/>
    </row>
    <row r="494" spans="1:5" x14ac:dyDescent="0.2">
      <c r="A494" s="6"/>
      <c r="E494" s="3"/>
    </row>
    <row r="495" spans="1:5" x14ac:dyDescent="0.2">
      <c r="A495" s="6"/>
      <c r="E495" s="3"/>
    </row>
    <row r="496" spans="1:5" x14ac:dyDescent="0.2">
      <c r="A496" s="6"/>
      <c r="E496" s="3"/>
    </row>
    <row r="497" spans="1:5" x14ac:dyDescent="0.2">
      <c r="A497" s="6"/>
      <c r="E497" s="3"/>
    </row>
    <row r="498" spans="1:5" x14ac:dyDescent="0.2">
      <c r="A498" s="6"/>
      <c r="E498" s="3"/>
    </row>
    <row r="499" spans="1:5" x14ac:dyDescent="0.2">
      <c r="A499" s="6"/>
      <c r="E499" s="3"/>
    </row>
    <row r="500" spans="1:5" x14ac:dyDescent="0.2">
      <c r="A500" s="6"/>
      <c r="E500" s="3"/>
    </row>
    <row r="501" spans="1:5" x14ac:dyDescent="0.2">
      <c r="A501" s="6"/>
      <c r="E501" s="3"/>
    </row>
    <row r="502" spans="1:5" x14ac:dyDescent="0.2">
      <c r="A502" s="6"/>
      <c r="E502" s="3"/>
    </row>
  </sheetData>
  <sortState xmlns:xlrd2="http://schemas.microsoft.com/office/spreadsheetml/2017/richdata2" ref="A3:F11">
    <sortCondition ref="A3:A11"/>
  </sortState>
  <mergeCells count="1">
    <mergeCell ref="A1:E1"/>
  </mergeCells>
  <dataValidations disablePrompts="1" count="2">
    <dataValidation type="list" allowBlank="1" sqref="C3:C1502" xr:uid="{4DA86EC7-E0F9-473B-86E4-590B8B7767B6}">
      <formula1>"Stock,CEDEAR,Bond,Corporate Bond,Mutual Fund,T-Bill,Cash,Other"</formula1>
      <formula2>0</formula2>
    </dataValidation>
    <dataValidation type="list" allowBlank="1" sqref="D3:D1502" xr:uid="{CACD89B2-6F54-475E-88AB-8218B282761E}">
      <formula1>"BUY,SELL,DIVIDEND,CAPITAL_INFLOW,CAUTION_OPEN,CAUTION_CLOSE,ADJUSTMENT"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B4BECD"/>
  </sheetPr>
  <dimension ref="A1:O1002"/>
  <sheetViews>
    <sheetView showGridLines="0" zoomScaleNormal="100" workbookViewId="0">
      <pane ySplit="2" topLeftCell="A3" activePane="bottomLeft" state="frozen"/>
      <selection activeCell="A3" sqref="A3"/>
      <selection pane="bottomLeft" activeCell="A3" sqref="A3"/>
    </sheetView>
  </sheetViews>
  <sheetFormatPr defaultColWidth="8.7109375" defaultRowHeight="12" x14ac:dyDescent="0.2"/>
  <cols>
    <col min="1" max="1" width="9.28515625" style="1" bestFit="1" customWidth="1"/>
    <col min="2" max="2" width="40.140625" style="1" bestFit="1" customWidth="1"/>
    <col min="3" max="3" width="10.5703125" style="1" bestFit="1" customWidth="1"/>
    <col min="4" max="4" width="11.85546875" style="1" bestFit="1" customWidth="1"/>
    <col min="5" max="5" width="15.5703125" style="1" bestFit="1" customWidth="1"/>
    <col min="6" max="6" width="10.85546875" style="1" bestFit="1" customWidth="1"/>
    <col min="7" max="7" width="12.140625" style="1" bestFit="1" customWidth="1"/>
    <col min="8" max="8" width="15.85546875" style="1" bestFit="1" customWidth="1"/>
    <col min="9" max="9" width="13" style="1" bestFit="1" customWidth="1"/>
    <col min="10" max="10" width="14.28515625" style="1" bestFit="1" customWidth="1"/>
    <col min="11" max="12" width="12.140625" style="1" bestFit="1" customWidth="1"/>
    <col min="13" max="13" width="13.42578125" style="1" bestFit="1" customWidth="1"/>
    <col min="14" max="14" width="17.140625" style="1" bestFit="1" customWidth="1"/>
    <col min="15" max="15" width="4.7109375" style="1" hidden="1" customWidth="1"/>
    <col min="16" max="16384" width="8.7109375" style="1"/>
  </cols>
  <sheetData>
    <row r="1" spans="1:15" ht="24" customHeight="1" x14ac:dyDescent="0.2">
      <c r="A1" s="104" t="s">
        <v>29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6"/>
    </row>
    <row r="2" spans="1:15" ht="27.95" customHeight="1" x14ac:dyDescent="0.2">
      <c r="A2" s="18" t="s">
        <v>21</v>
      </c>
      <c r="B2" s="18" t="s">
        <v>5</v>
      </c>
      <c r="C2" s="18" t="s">
        <v>30</v>
      </c>
      <c r="D2" s="18" t="s">
        <v>31</v>
      </c>
      <c r="E2" s="18" t="s">
        <v>32</v>
      </c>
      <c r="F2" s="18" t="s">
        <v>71</v>
      </c>
      <c r="G2" s="18" t="s">
        <v>72</v>
      </c>
      <c r="H2" s="18" t="s">
        <v>73</v>
      </c>
      <c r="I2" s="18" t="s">
        <v>77</v>
      </c>
      <c r="J2" s="18" t="s">
        <v>78</v>
      </c>
      <c r="K2" s="18" t="s">
        <v>79</v>
      </c>
      <c r="L2" s="18" t="s">
        <v>74</v>
      </c>
      <c r="M2" s="18" t="s">
        <v>75</v>
      </c>
      <c r="N2" s="18" t="s">
        <v>76</v>
      </c>
      <c r="O2" s="18"/>
    </row>
    <row r="3" spans="1:15" x14ac:dyDescent="0.2">
      <c r="A3" s="29">
        <v>45869</v>
      </c>
      <c r="B3" s="9" t="s">
        <v>387</v>
      </c>
      <c r="C3" s="50">
        <v>50000</v>
      </c>
      <c r="D3" s="10">
        <v>0</v>
      </c>
      <c r="E3" s="50">
        <v>50000</v>
      </c>
      <c r="F3" s="10"/>
      <c r="G3" s="10"/>
      <c r="H3" s="10"/>
      <c r="I3" s="10"/>
      <c r="J3" s="10"/>
      <c r="K3" s="10"/>
      <c r="L3" s="10"/>
      <c r="M3" s="10"/>
      <c r="N3" s="10"/>
      <c r="O3" s="40" t="s">
        <v>88</v>
      </c>
    </row>
    <row r="4" spans="1:15" x14ac:dyDescent="0.2">
      <c r="A4" s="31">
        <v>45870</v>
      </c>
      <c r="B4" s="32" t="s">
        <v>388</v>
      </c>
      <c r="C4" s="33">
        <v>0</v>
      </c>
      <c r="D4" s="52">
        <v>12173.38</v>
      </c>
      <c r="E4" s="52">
        <v>37826.620000000003</v>
      </c>
      <c r="F4" s="33"/>
      <c r="G4" s="33"/>
      <c r="H4" s="33"/>
      <c r="I4" s="33"/>
      <c r="J4" s="33"/>
      <c r="K4" s="33"/>
      <c r="L4" s="33"/>
      <c r="M4" s="33"/>
      <c r="N4" s="33"/>
      <c r="O4" s="58" t="s">
        <v>89</v>
      </c>
    </row>
    <row r="5" spans="1:15" x14ac:dyDescent="0.2">
      <c r="A5" s="29">
        <v>45870</v>
      </c>
      <c r="B5" s="9" t="s">
        <v>389</v>
      </c>
      <c r="C5" s="10">
        <v>0</v>
      </c>
      <c r="D5" s="50">
        <v>19679.04</v>
      </c>
      <c r="E5" s="50">
        <v>18147.580000000002</v>
      </c>
      <c r="F5" s="10"/>
      <c r="G5" s="10"/>
      <c r="H5" s="10"/>
      <c r="I5" s="10"/>
      <c r="J5" s="10"/>
      <c r="K5" s="10"/>
      <c r="L5" s="10"/>
      <c r="M5" s="10"/>
      <c r="N5" s="10"/>
      <c r="O5" s="59" t="s">
        <v>90</v>
      </c>
    </row>
    <row r="6" spans="1:15" x14ac:dyDescent="0.2">
      <c r="A6" s="31">
        <v>45870</v>
      </c>
      <c r="B6" s="32" t="s">
        <v>390</v>
      </c>
      <c r="C6" s="33">
        <v>0</v>
      </c>
      <c r="D6" s="52">
        <v>13552.83</v>
      </c>
      <c r="E6" s="52">
        <v>4594.75</v>
      </c>
      <c r="F6" s="33"/>
      <c r="G6" s="33"/>
      <c r="H6" s="33"/>
      <c r="I6" s="33"/>
      <c r="J6" s="33"/>
      <c r="K6" s="33"/>
      <c r="L6" s="33"/>
      <c r="M6" s="33"/>
      <c r="N6" s="33"/>
      <c r="O6" s="58" t="s">
        <v>91</v>
      </c>
    </row>
    <row r="7" spans="1:15" x14ac:dyDescent="0.2">
      <c r="A7" s="29">
        <v>45870</v>
      </c>
      <c r="B7" s="9" t="s">
        <v>391</v>
      </c>
      <c r="C7" s="10">
        <v>0</v>
      </c>
      <c r="D7" s="50">
        <v>4520.1499999999996</v>
      </c>
      <c r="E7" s="50">
        <v>74.599999999999994</v>
      </c>
      <c r="F7" s="10"/>
      <c r="G7" s="10"/>
      <c r="H7" s="10"/>
      <c r="I7" s="10"/>
      <c r="J7" s="10"/>
      <c r="K7" s="10"/>
      <c r="L7" s="10"/>
      <c r="M7" s="10"/>
      <c r="N7" s="10"/>
      <c r="O7" s="59" t="s">
        <v>92</v>
      </c>
    </row>
    <row r="8" spans="1:15" x14ac:dyDescent="0.2">
      <c r="A8" s="31">
        <v>45874</v>
      </c>
      <c r="B8" s="32" t="s">
        <v>392</v>
      </c>
      <c r="C8" s="33"/>
      <c r="D8" s="33"/>
      <c r="E8" s="33"/>
      <c r="F8" s="52">
        <v>200</v>
      </c>
      <c r="G8" s="33">
        <v>0</v>
      </c>
      <c r="H8" s="52">
        <v>200</v>
      </c>
      <c r="I8" s="33"/>
      <c r="J8" s="33"/>
      <c r="K8" s="33"/>
      <c r="L8" s="33"/>
      <c r="M8" s="33"/>
      <c r="N8" s="33"/>
      <c r="O8" s="58" t="s">
        <v>93</v>
      </c>
    </row>
    <row r="9" spans="1:15" x14ac:dyDescent="0.2">
      <c r="A9" s="29">
        <v>45874</v>
      </c>
      <c r="B9" s="9" t="s">
        <v>393</v>
      </c>
      <c r="C9" s="10">
        <v>0</v>
      </c>
      <c r="D9" s="50">
        <v>134.16999999999999</v>
      </c>
      <c r="E9" s="13">
        <v>-59.57</v>
      </c>
      <c r="F9" s="10"/>
      <c r="G9" s="10"/>
      <c r="H9" s="10"/>
      <c r="I9" s="10"/>
      <c r="J9" s="10"/>
      <c r="K9" s="10"/>
      <c r="L9" s="10"/>
      <c r="M9" s="10"/>
      <c r="N9" s="10"/>
      <c r="O9" s="59" t="s">
        <v>94</v>
      </c>
    </row>
    <row r="10" spans="1:15" x14ac:dyDescent="0.2">
      <c r="A10" s="31">
        <v>45874</v>
      </c>
      <c r="B10" s="32" t="s">
        <v>393</v>
      </c>
      <c r="C10" s="33"/>
      <c r="D10" s="33"/>
      <c r="E10" s="33"/>
      <c r="F10" s="33">
        <v>0</v>
      </c>
      <c r="G10" s="52">
        <v>52.27</v>
      </c>
      <c r="H10" s="52">
        <v>147.72999999999999</v>
      </c>
      <c r="I10" s="33"/>
      <c r="J10" s="33"/>
      <c r="K10" s="33"/>
      <c r="L10" s="33"/>
      <c r="M10" s="33"/>
      <c r="N10" s="33"/>
      <c r="O10" s="58" t="s">
        <v>95</v>
      </c>
    </row>
    <row r="11" spans="1:15" x14ac:dyDescent="0.2">
      <c r="A11" s="29">
        <v>45877</v>
      </c>
      <c r="B11" s="9" t="s">
        <v>394</v>
      </c>
      <c r="C11" s="10">
        <v>0</v>
      </c>
      <c r="D11" s="50">
        <v>86.07</v>
      </c>
      <c r="E11" s="13">
        <v>-145.63999999999999</v>
      </c>
      <c r="F11" s="10"/>
      <c r="G11" s="10"/>
      <c r="H11" s="10"/>
      <c r="I11" s="10"/>
      <c r="J11" s="10"/>
      <c r="K11" s="10"/>
      <c r="L11" s="10"/>
      <c r="M11" s="10"/>
      <c r="N11" s="10"/>
      <c r="O11" s="59" t="s">
        <v>96</v>
      </c>
    </row>
    <row r="12" spans="1:15" x14ac:dyDescent="0.2">
      <c r="A12" s="31">
        <v>45877</v>
      </c>
      <c r="B12" s="32" t="s">
        <v>394</v>
      </c>
      <c r="C12" s="33"/>
      <c r="D12" s="33"/>
      <c r="E12" s="33"/>
      <c r="F12" s="33">
        <v>0</v>
      </c>
      <c r="G12" s="52">
        <v>34.619999999999997</v>
      </c>
      <c r="H12" s="52">
        <v>113.11</v>
      </c>
      <c r="I12" s="33"/>
      <c r="J12" s="33"/>
      <c r="K12" s="33"/>
      <c r="L12" s="33"/>
      <c r="M12" s="33"/>
      <c r="N12" s="33"/>
      <c r="O12" s="58" t="s">
        <v>97</v>
      </c>
    </row>
    <row r="13" spans="1:15" x14ac:dyDescent="0.2">
      <c r="A13" s="29">
        <v>45877</v>
      </c>
      <c r="B13" s="9" t="s">
        <v>395</v>
      </c>
      <c r="C13" s="50">
        <v>1000</v>
      </c>
      <c r="D13" s="10">
        <v>0</v>
      </c>
      <c r="E13" s="50">
        <v>854.36</v>
      </c>
      <c r="F13" s="10"/>
      <c r="G13" s="10"/>
      <c r="H13" s="10"/>
      <c r="I13" s="10"/>
      <c r="J13" s="10"/>
      <c r="K13" s="10"/>
      <c r="L13" s="10"/>
      <c r="M13" s="10"/>
      <c r="N13" s="10"/>
      <c r="O13" s="59" t="s">
        <v>98</v>
      </c>
    </row>
    <row r="14" spans="1:15" x14ac:dyDescent="0.2">
      <c r="A14" s="31">
        <v>45877</v>
      </c>
      <c r="B14" s="32" t="s">
        <v>396</v>
      </c>
      <c r="C14" s="33">
        <v>0</v>
      </c>
      <c r="D14" s="52">
        <v>175.02</v>
      </c>
      <c r="E14" s="52">
        <v>679.34</v>
      </c>
      <c r="F14" s="33"/>
      <c r="G14" s="33"/>
      <c r="H14" s="33"/>
      <c r="I14" s="33"/>
      <c r="J14" s="33"/>
      <c r="K14" s="33"/>
      <c r="L14" s="33"/>
      <c r="M14" s="33"/>
      <c r="N14" s="33"/>
      <c r="O14" s="58" t="s">
        <v>99</v>
      </c>
    </row>
    <row r="15" spans="1:15" x14ac:dyDescent="0.2">
      <c r="A15" s="29">
        <v>45877</v>
      </c>
      <c r="B15" s="9" t="s">
        <v>396</v>
      </c>
      <c r="C15" s="10"/>
      <c r="D15" s="10"/>
      <c r="E15" s="10"/>
      <c r="F15" s="10">
        <v>0</v>
      </c>
      <c r="G15" s="50">
        <v>69.349999999999994</v>
      </c>
      <c r="H15" s="50">
        <v>43.76</v>
      </c>
      <c r="I15" s="10"/>
      <c r="J15" s="10"/>
      <c r="K15" s="10"/>
      <c r="L15" s="10"/>
      <c r="M15" s="10"/>
      <c r="N15" s="10"/>
      <c r="O15" s="59" t="s">
        <v>100</v>
      </c>
    </row>
    <row r="16" spans="1:15" x14ac:dyDescent="0.2">
      <c r="A16" s="31">
        <v>45881</v>
      </c>
      <c r="B16" s="32" t="s">
        <v>397</v>
      </c>
      <c r="C16" s="33">
        <v>0</v>
      </c>
      <c r="D16" s="52">
        <v>89.27</v>
      </c>
      <c r="E16" s="52">
        <v>590.07000000000005</v>
      </c>
      <c r="F16" s="33"/>
      <c r="G16" s="33"/>
      <c r="H16" s="33"/>
      <c r="I16" s="33"/>
      <c r="J16" s="33"/>
      <c r="K16" s="33"/>
      <c r="L16" s="33"/>
      <c r="M16" s="33"/>
      <c r="N16" s="33"/>
      <c r="O16" s="58" t="s">
        <v>101</v>
      </c>
    </row>
    <row r="17" spans="1:15" x14ac:dyDescent="0.2">
      <c r="A17" s="29">
        <v>45881</v>
      </c>
      <c r="B17" s="9" t="s">
        <v>397</v>
      </c>
      <c r="C17" s="10"/>
      <c r="D17" s="10"/>
      <c r="E17" s="10"/>
      <c r="F17" s="10">
        <v>0</v>
      </c>
      <c r="G17" s="50">
        <v>35.28</v>
      </c>
      <c r="H17" s="50">
        <v>8.48</v>
      </c>
      <c r="I17" s="10"/>
      <c r="J17" s="10"/>
      <c r="K17" s="10"/>
      <c r="L17" s="10"/>
      <c r="M17" s="10"/>
      <c r="N17" s="10"/>
      <c r="O17" s="59" t="s">
        <v>102</v>
      </c>
    </row>
    <row r="18" spans="1:15" x14ac:dyDescent="0.2">
      <c r="A18" s="31">
        <v>45881</v>
      </c>
      <c r="B18" s="32" t="s">
        <v>63</v>
      </c>
      <c r="C18" s="52">
        <v>42.89</v>
      </c>
      <c r="D18" s="33">
        <v>0</v>
      </c>
      <c r="E18" s="52">
        <v>632.96</v>
      </c>
      <c r="F18" s="33"/>
      <c r="G18" s="33"/>
      <c r="H18" s="33"/>
      <c r="I18" s="33"/>
      <c r="J18" s="33"/>
      <c r="K18" s="33"/>
      <c r="L18" s="33"/>
      <c r="M18" s="33"/>
      <c r="N18" s="33"/>
      <c r="O18" s="58" t="s">
        <v>103</v>
      </c>
    </row>
    <row r="19" spans="1:15" x14ac:dyDescent="0.2">
      <c r="A19" s="29">
        <v>45881</v>
      </c>
      <c r="B19" s="9" t="s">
        <v>70</v>
      </c>
      <c r="C19" s="10">
        <v>0</v>
      </c>
      <c r="D19" s="50">
        <v>3.01</v>
      </c>
      <c r="E19" s="50">
        <v>629.95000000000005</v>
      </c>
      <c r="F19" s="10"/>
      <c r="G19" s="10"/>
      <c r="H19" s="10"/>
      <c r="I19" s="10"/>
      <c r="J19" s="10"/>
      <c r="K19" s="10"/>
      <c r="L19" s="10"/>
      <c r="M19" s="10"/>
      <c r="N19" s="10"/>
      <c r="O19" s="59" t="s">
        <v>104</v>
      </c>
    </row>
    <row r="20" spans="1:15" x14ac:dyDescent="0.2">
      <c r="A20" s="31">
        <v>45882</v>
      </c>
      <c r="B20" s="32" t="s">
        <v>398</v>
      </c>
      <c r="C20" s="33">
        <v>0</v>
      </c>
      <c r="D20" s="52">
        <v>19.510000000000002</v>
      </c>
      <c r="E20" s="52">
        <v>610.44000000000005</v>
      </c>
      <c r="F20" s="33"/>
      <c r="G20" s="33"/>
      <c r="H20" s="33"/>
      <c r="I20" s="33"/>
      <c r="J20" s="33"/>
      <c r="K20" s="33"/>
      <c r="L20" s="33"/>
      <c r="M20" s="33"/>
      <c r="N20" s="33"/>
      <c r="O20" s="58" t="s">
        <v>105</v>
      </c>
    </row>
    <row r="21" spans="1:15" x14ac:dyDescent="0.2">
      <c r="A21" s="29">
        <v>45882</v>
      </c>
      <c r="B21" s="9" t="s">
        <v>398</v>
      </c>
      <c r="C21" s="10"/>
      <c r="D21" s="10"/>
      <c r="E21" s="10"/>
      <c r="F21" s="10">
        <v>0</v>
      </c>
      <c r="G21" s="50">
        <v>7.6</v>
      </c>
      <c r="H21" s="50">
        <v>0.88</v>
      </c>
      <c r="I21" s="10"/>
      <c r="J21" s="10"/>
      <c r="K21" s="10"/>
      <c r="L21" s="10"/>
      <c r="M21" s="10"/>
      <c r="N21" s="10"/>
      <c r="O21" s="59" t="s">
        <v>106</v>
      </c>
    </row>
    <row r="22" spans="1:15" x14ac:dyDescent="0.2">
      <c r="A22" s="31">
        <v>45887</v>
      </c>
      <c r="B22" s="32" t="s">
        <v>69</v>
      </c>
      <c r="C22" s="52">
        <v>24652.58</v>
      </c>
      <c r="D22" s="33">
        <v>0</v>
      </c>
      <c r="E22" s="52">
        <v>25263.02</v>
      </c>
      <c r="F22" s="33"/>
      <c r="G22" s="33"/>
      <c r="H22" s="33"/>
      <c r="I22" s="33"/>
      <c r="J22" s="33"/>
      <c r="K22" s="33"/>
      <c r="L22" s="33"/>
      <c r="M22" s="33"/>
      <c r="N22" s="33"/>
      <c r="O22" s="58" t="s">
        <v>107</v>
      </c>
    </row>
    <row r="23" spans="1:15" x14ac:dyDescent="0.2">
      <c r="A23" s="29">
        <v>45897</v>
      </c>
      <c r="B23" s="9" t="s">
        <v>399</v>
      </c>
      <c r="C23" s="50">
        <v>1100000</v>
      </c>
      <c r="D23" s="10">
        <v>0</v>
      </c>
      <c r="E23" s="50">
        <v>1125263.02</v>
      </c>
      <c r="F23" s="10"/>
      <c r="G23" s="10"/>
      <c r="H23" s="10"/>
      <c r="I23" s="10"/>
      <c r="J23" s="10"/>
      <c r="K23" s="10"/>
      <c r="L23" s="10"/>
      <c r="M23" s="10"/>
      <c r="N23" s="10"/>
      <c r="O23" s="59" t="s">
        <v>108</v>
      </c>
    </row>
    <row r="24" spans="1:15" x14ac:dyDescent="0.2">
      <c r="A24" s="31">
        <v>45897</v>
      </c>
      <c r="B24" s="32" t="s">
        <v>400</v>
      </c>
      <c r="C24" s="33">
        <v>0</v>
      </c>
      <c r="D24" s="52">
        <v>1125263.02</v>
      </c>
      <c r="E24" s="33">
        <v>0</v>
      </c>
      <c r="F24" s="33"/>
      <c r="G24" s="33"/>
      <c r="H24" s="33"/>
      <c r="I24" s="33"/>
      <c r="J24" s="33"/>
      <c r="K24" s="33"/>
      <c r="L24" s="33"/>
      <c r="M24" s="33"/>
      <c r="N24" s="33"/>
      <c r="O24" s="58" t="s">
        <v>109</v>
      </c>
    </row>
    <row r="25" spans="1:15" x14ac:dyDescent="0.2">
      <c r="A25" s="29">
        <v>45897</v>
      </c>
      <c r="B25" s="9" t="s">
        <v>401</v>
      </c>
      <c r="C25" s="50">
        <v>1133920.54</v>
      </c>
      <c r="D25" s="10">
        <v>0</v>
      </c>
      <c r="E25" s="50">
        <v>1133920.54</v>
      </c>
      <c r="F25" s="10"/>
      <c r="G25" s="10"/>
      <c r="H25" s="10"/>
      <c r="I25" s="10"/>
      <c r="J25" s="10"/>
      <c r="K25" s="10"/>
      <c r="L25" s="10"/>
      <c r="M25" s="10"/>
      <c r="N25" s="10"/>
      <c r="O25" s="59" t="s">
        <v>110</v>
      </c>
    </row>
    <row r="26" spans="1:15" x14ac:dyDescent="0.2">
      <c r="A26" s="31">
        <v>45904</v>
      </c>
      <c r="B26" s="32" t="s">
        <v>402</v>
      </c>
      <c r="C26" s="33">
        <v>0</v>
      </c>
      <c r="D26" s="52">
        <v>1133920.54</v>
      </c>
      <c r="E26" s="33">
        <v>0</v>
      </c>
      <c r="F26" s="33"/>
      <c r="G26" s="33"/>
      <c r="H26" s="33"/>
      <c r="I26" s="33"/>
      <c r="J26" s="33"/>
      <c r="K26" s="33"/>
      <c r="L26" s="33"/>
      <c r="M26" s="33"/>
      <c r="N26" s="33"/>
      <c r="O26" s="58" t="s">
        <v>111</v>
      </c>
    </row>
    <row r="27" spans="1:15" x14ac:dyDescent="0.2">
      <c r="A27" s="29">
        <v>45910</v>
      </c>
      <c r="B27" s="9" t="s">
        <v>64</v>
      </c>
      <c r="C27" s="10">
        <v>0</v>
      </c>
      <c r="D27" s="50">
        <v>2.77</v>
      </c>
      <c r="E27" s="13">
        <v>-2.77</v>
      </c>
      <c r="F27" s="10"/>
      <c r="G27" s="10"/>
      <c r="H27" s="10"/>
      <c r="I27" s="10"/>
      <c r="J27" s="10"/>
      <c r="K27" s="10"/>
      <c r="L27" s="10"/>
      <c r="M27" s="10"/>
      <c r="N27" s="10"/>
      <c r="O27" s="59" t="s">
        <v>112</v>
      </c>
    </row>
    <row r="28" spans="1:15" x14ac:dyDescent="0.2">
      <c r="A28" s="31">
        <v>45910</v>
      </c>
      <c r="B28" s="32" t="s">
        <v>64</v>
      </c>
      <c r="C28" s="33"/>
      <c r="D28" s="33"/>
      <c r="E28" s="33"/>
      <c r="F28" s="33"/>
      <c r="G28" s="33"/>
      <c r="H28" s="33"/>
      <c r="I28" s="52">
        <v>0.46</v>
      </c>
      <c r="J28" s="33">
        <v>0</v>
      </c>
      <c r="K28" s="52">
        <v>0.46</v>
      </c>
      <c r="L28" s="33"/>
      <c r="M28" s="33"/>
      <c r="N28" s="33"/>
      <c r="O28" s="58" t="s">
        <v>113</v>
      </c>
    </row>
    <row r="29" spans="1:15" x14ac:dyDescent="0.2">
      <c r="A29" s="29">
        <v>45910</v>
      </c>
      <c r="B29" s="9" t="s">
        <v>63</v>
      </c>
      <c r="C29" s="50">
        <v>43.71</v>
      </c>
      <c r="D29" s="10">
        <v>0</v>
      </c>
      <c r="E29" s="50">
        <v>40.94</v>
      </c>
      <c r="F29" s="10"/>
      <c r="G29" s="10"/>
      <c r="H29" s="10"/>
      <c r="I29" s="10"/>
      <c r="J29" s="10"/>
      <c r="K29" s="10"/>
      <c r="L29" s="10"/>
      <c r="M29" s="10"/>
      <c r="N29" s="10"/>
      <c r="O29" s="59" t="s">
        <v>114</v>
      </c>
    </row>
    <row r="30" spans="1:15" x14ac:dyDescent="0.2">
      <c r="A30" s="31">
        <v>45910</v>
      </c>
      <c r="B30" s="32" t="s">
        <v>62</v>
      </c>
      <c r="C30" s="33">
        <v>0</v>
      </c>
      <c r="D30" s="52">
        <v>3.07</v>
      </c>
      <c r="E30" s="52">
        <v>37.869999999999997</v>
      </c>
      <c r="F30" s="33"/>
      <c r="G30" s="33"/>
      <c r="H30" s="33"/>
      <c r="I30" s="33"/>
      <c r="J30" s="33"/>
      <c r="K30" s="33"/>
      <c r="L30" s="33"/>
      <c r="M30" s="33"/>
      <c r="N30" s="33"/>
      <c r="O30" s="58" t="s">
        <v>115</v>
      </c>
    </row>
    <row r="31" spans="1:15" x14ac:dyDescent="0.2">
      <c r="A31" s="29">
        <v>45916</v>
      </c>
      <c r="B31" s="9" t="s">
        <v>65</v>
      </c>
      <c r="C31" s="10"/>
      <c r="D31" s="10"/>
      <c r="E31" s="10"/>
      <c r="F31" s="10"/>
      <c r="G31" s="10"/>
      <c r="H31" s="10"/>
      <c r="I31" s="50">
        <v>0.16</v>
      </c>
      <c r="J31" s="10">
        <v>0</v>
      </c>
      <c r="K31" s="50">
        <v>0.62</v>
      </c>
      <c r="L31" s="10"/>
      <c r="M31" s="10"/>
      <c r="N31" s="10"/>
      <c r="O31" s="59" t="s">
        <v>116</v>
      </c>
    </row>
    <row r="32" spans="1:15" x14ac:dyDescent="0.2">
      <c r="A32" s="31">
        <v>45916</v>
      </c>
      <c r="B32" s="32" t="s">
        <v>65</v>
      </c>
      <c r="C32" s="33">
        <v>0</v>
      </c>
      <c r="D32" s="52">
        <v>1</v>
      </c>
      <c r="E32" s="52">
        <v>36.869999999999997</v>
      </c>
      <c r="F32" s="33"/>
      <c r="G32" s="33"/>
      <c r="H32" s="33"/>
      <c r="I32" s="33"/>
      <c r="J32" s="33"/>
      <c r="K32" s="33"/>
      <c r="L32" s="33"/>
      <c r="M32" s="33"/>
      <c r="N32" s="33"/>
      <c r="O32" s="58" t="s">
        <v>117</v>
      </c>
    </row>
    <row r="33" spans="1:15" x14ac:dyDescent="0.2">
      <c r="A33" s="29">
        <v>45943</v>
      </c>
      <c r="B33" s="9" t="s">
        <v>64</v>
      </c>
      <c r="C33" s="10">
        <v>0</v>
      </c>
      <c r="D33" s="50">
        <v>0.18</v>
      </c>
      <c r="E33" s="50">
        <v>36.69</v>
      </c>
      <c r="F33" s="10"/>
      <c r="G33" s="10"/>
      <c r="H33" s="10"/>
      <c r="I33" s="10"/>
      <c r="J33" s="10"/>
      <c r="K33" s="10"/>
      <c r="L33" s="10"/>
      <c r="M33" s="10"/>
      <c r="N33" s="10"/>
      <c r="O33" s="59" t="s">
        <v>118</v>
      </c>
    </row>
    <row r="34" spans="1:15" x14ac:dyDescent="0.2">
      <c r="A34" s="31">
        <v>45943</v>
      </c>
      <c r="B34" s="32" t="s">
        <v>64</v>
      </c>
      <c r="C34" s="33"/>
      <c r="D34" s="33"/>
      <c r="E34" s="33"/>
      <c r="F34" s="33"/>
      <c r="G34" s="33"/>
      <c r="H34" s="33"/>
      <c r="I34" s="52">
        <v>0.03</v>
      </c>
      <c r="J34" s="33">
        <v>0</v>
      </c>
      <c r="K34" s="52">
        <v>0.65</v>
      </c>
      <c r="L34" s="33"/>
      <c r="M34" s="33"/>
      <c r="N34" s="33"/>
      <c r="O34" s="58" t="s">
        <v>119</v>
      </c>
    </row>
    <row r="35" spans="1:15" x14ac:dyDescent="0.2">
      <c r="A35" s="29">
        <v>45943</v>
      </c>
      <c r="B35" s="9" t="s">
        <v>63</v>
      </c>
      <c r="C35" s="50">
        <v>44.53</v>
      </c>
      <c r="D35" s="10">
        <v>0</v>
      </c>
      <c r="E35" s="50">
        <v>81.22</v>
      </c>
      <c r="F35" s="10"/>
      <c r="G35" s="10"/>
      <c r="H35" s="10"/>
      <c r="I35" s="10"/>
      <c r="J35" s="10"/>
      <c r="K35" s="10"/>
      <c r="L35" s="10"/>
      <c r="M35" s="10"/>
      <c r="N35" s="10"/>
      <c r="O35" s="59" t="s">
        <v>120</v>
      </c>
    </row>
    <row r="36" spans="1:15" x14ac:dyDescent="0.2">
      <c r="A36" s="31">
        <v>45943</v>
      </c>
      <c r="B36" s="32" t="s">
        <v>68</v>
      </c>
      <c r="C36" s="33">
        <v>0</v>
      </c>
      <c r="D36" s="52">
        <v>3.12</v>
      </c>
      <c r="E36" s="52">
        <v>78.099999999999994</v>
      </c>
      <c r="F36" s="33"/>
      <c r="G36" s="33"/>
      <c r="H36" s="33"/>
      <c r="I36" s="33"/>
      <c r="J36" s="33"/>
      <c r="K36" s="33"/>
      <c r="L36" s="33"/>
      <c r="M36" s="33"/>
      <c r="N36" s="33"/>
      <c r="O36" s="58" t="s">
        <v>121</v>
      </c>
    </row>
    <row r="37" spans="1:15" x14ac:dyDescent="0.2">
      <c r="A37" s="29">
        <v>45973</v>
      </c>
      <c r="B37" s="9" t="s">
        <v>63</v>
      </c>
      <c r="C37" s="50">
        <v>45.44</v>
      </c>
      <c r="D37" s="10">
        <v>0</v>
      </c>
      <c r="E37" s="50">
        <v>123.54</v>
      </c>
      <c r="F37" s="10"/>
      <c r="G37" s="10"/>
      <c r="H37" s="10"/>
      <c r="I37" s="10"/>
      <c r="J37" s="10"/>
      <c r="K37" s="10"/>
      <c r="L37" s="10"/>
      <c r="M37" s="10"/>
      <c r="N37" s="10"/>
      <c r="O37" s="59" t="s">
        <v>122</v>
      </c>
    </row>
    <row r="38" spans="1:15" x14ac:dyDescent="0.2">
      <c r="A38" s="31">
        <v>45973</v>
      </c>
      <c r="B38" s="32" t="s">
        <v>62</v>
      </c>
      <c r="C38" s="33">
        <v>0</v>
      </c>
      <c r="D38" s="52">
        <v>3.19</v>
      </c>
      <c r="E38" s="52">
        <v>120.35</v>
      </c>
      <c r="F38" s="33"/>
      <c r="G38" s="33"/>
      <c r="H38" s="33"/>
      <c r="I38" s="33"/>
      <c r="J38" s="33"/>
      <c r="K38" s="33"/>
      <c r="L38" s="33"/>
      <c r="M38" s="33"/>
      <c r="N38" s="33"/>
      <c r="O38" s="58" t="s">
        <v>123</v>
      </c>
    </row>
    <row r="39" spans="1:15" x14ac:dyDescent="0.2">
      <c r="A39" s="29">
        <v>45974</v>
      </c>
      <c r="B39" s="9" t="s">
        <v>64</v>
      </c>
      <c r="C39" s="10">
        <v>0</v>
      </c>
      <c r="D39" s="50">
        <v>0.18</v>
      </c>
      <c r="E39" s="50">
        <v>120.17</v>
      </c>
      <c r="F39" s="10"/>
      <c r="G39" s="10"/>
      <c r="H39" s="10"/>
      <c r="I39" s="10"/>
      <c r="J39" s="10"/>
      <c r="K39" s="10"/>
      <c r="L39" s="10"/>
      <c r="M39" s="10"/>
      <c r="N39" s="10"/>
      <c r="O39" s="59" t="s">
        <v>124</v>
      </c>
    </row>
    <row r="40" spans="1:15" x14ac:dyDescent="0.2">
      <c r="A40" s="31">
        <v>45974</v>
      </c>
      <c r="B40" s="32" t="s">
        <v>64</v>
      </c>
      <c r="C40" s="33"/>
      <c r="D40" s="33"/>
      <c r="E40" s="33"/>
      <c r="F40" s="33"/>
      <c r="G40" s="33"/>
      <c r="H40" s="33"/>
      <c r="I40" s="52">
        <v>0.03</v>
      </c>
      <c r="J40" s="33">
        <v>0</v>
      </c>
      <c r="K40" s="52">
        <v>0.68</v>
      </c>
      <c r="L40" s="33"/>
      <c r="M40" s="33"/>
      <c r="N40" s="33"/>
      <c r="O40" s="58" t="s">
        <v>125</v>
      </c>
    </row>
    <row r="41" spans="1:15" x14ac:dyDescent="0.2">
      <c r="A41" s="29">
        <v>46001</v>
      </c>
      <c r="B41" s="9" t="s">
        <v>64</v>
      </c>
      <c r="C41" s="10">
        <v>0</v>
      </c>
      <c r="D41" s="50">
        <v>0.18</v>
      </c>
      <c r="E41" s="50">
        <v>119.99</v>
      </c>
      <c r="F41" s="10"/>
      <c r="G41" s="10"/>
      <c r="H41" s="10"/>
      <c r="I41" s="10"/>
      <c r="J41" s="10"/>
      <c r="K41" s="10"/>
      <c r="L41" s="10"/>
      <c r="M41" s="10"/>
      <c r="N41" s="10"/>
      <c r="O41" s="59" t="s">
        <v>126</v>
      </c>
    </row>
    <row r="42" spans="1:15" x14ac:dyDescent="0.2">
      <c r="A42" s="31">
        <v>46001</v>
      </c>
      <c r="B42" s="32" t="s">
        <v>64</v>
      </c>
      <c r="C42" s="33"/>
      <c r="D42" s="33"/>
      <c r="E42" s="33"/>
      <c r="F42" s="33"/>
      <c r="G42" s="33"/>
      <c r="H42" s="33"/>
      <c r="I42" s="52">
        <v>0.03</v>
      </c>
      <c r="J42" s="33">
        <v>0</v>
      </c>
      <c r="K42" s="52">
        <v>0.71</v>
      </c>
      <c r="L42" s="33"/>
      <c r="M42" s="33"/>
      <c r="N42" s="33"/>
      <c r="O42" s="58" t="s">
        <v>127</v>
      </c>
    </row>
    <row r="43" spans="1:15" x14ac:dyDescent="0.2">
      <c r="A43" s="29">
        <v>46002</v>
      </c>
      <c r="B43" s="9" t="s">
        <v>63</v>
      </c>
      <c r="C43" s="50">
        <v>46.51</v>
      </c>
      <c r="D43" s="10">
        <v>0</v>
      </c>
      <c r="E43" s="50">
        <v>166.5</v>
      </c>
      <c r="F43" s="10"/>
      <c r="G43" s="10"/>
      <c r="H43" s="10"/>
      <c r="I43" s="10"/>
      <c r="J43" s="10"/>
      <c r="K43" s="10"/>
      <c r="L43" s="10"/>
      <c r="M43" s="10"/>
      <c r="N43" s="10"/>
      <c r="O43" s="59" t="s">
        <v>128</v>
      </c>
    </row>
    <row r="44" spans="1:15" x14ac:dyDescent="0.2">
      <c r="A44" s="31">
        <v>46002</v>
      </c>
      <c r="B44" s="32" t="s">
        <v>62</v>
      </c>
      <c r="C44" s="33">
        <v>0</v>
      </c>
      <c r="D44" s="52">
        <v>3.26</v>
      </c>
      <c r="E44" s="52">
        <v>163.24</v>
      </c>
      <c r="F44" s="33"/>
      <c r="G44" s="33"/>
      <c r="H44" s="33"/>
      <c r="I44" s="33"/>
      <c r="J44" s="33"/>
      <c r="K44" s="33"/>
      <c r="L44" s="33"/>
      <c r="M44" s="33"/>
      <c r="N44" s="33"/>
      <c r="O44" s="58" t="s">
        <v>129</v>
      </c>
    </row>
    <row r="45" spans="1:15" x14ac:dyDescent="0.2">
      <c r="A45" s="29">
        <v>46007</v>
      </c>
      <c r="B45" s="9" t="s">
        <v>65</v>
      </c>
      <c r="C45" s="10">
        <v>0</v>
      </c>
      <c r="D45" s="50">
        <v>1.1100000000000001</v>
      </c>
      <c r="E45" s="50">
        <v>162.13</v>
      </c>
      <c r="F45" s="10"/>
      <c r="G45" s="10"/>
      <c r="H45" s="10"/>
      <c r="I45" s="10"/>
      <c r="J45" s="10"/>
      <c r="K45" s="10"/>
      <c r="L45" s="10"/>
      <c r="M45" s="10"/>
      <c r="N45" s="10"/>
      <c r="O45" s="59" t="s">
        <v>130</v>
      </c>
    </row>
    <row r="46" spans="1:15" x14ac:dyDescent="0.2">
      <c r="A46" s="31">
        <v>46007</v>
      </c>
      <c r="B46" s="32" t="s">
        <v>65</v>
      </c>
      <c r="C46" s="33"/>
      <c r="D46" s="33"/>
      <c r="E46" s="33"/>
      <c r="F46" s="33"/>
      <c r="G46" s="33"/>
      <c r="H46" s="33"/>
      <c r="I46" s="52">
        <v>0.18</v>
      </c>
      <c r="J46" s="33">
        <v>0</v>
      </c>
      <c r="K46" s="52">
        <v>0.89</v>
      </c>
      <c r="L46" s="33"/>
      <c r="M46" s="33"/>
      <c r="N46" s="33"/>
      <c r="O46" s="58" t="s">
        <v>131</v>
      </c>
    </row>
    <row r="47" spans="1:15" x14ac:dyDescent="0.2">
      <c r="A47" s="29">
        <v>46024</v>
      </c>
      <c r="B47" s="9" t="s">
        <v>64</v>
      </c>
      <c r="C47" s="10">
        <v>0</v>
      </c>
      <c r="D47" s="50">
        <v>20.6</v>
      </c>
      <c r="E47" s="50">
        <v>141.53</v>
      </c>
      <c r="F47" s="10"/>
      <c r="G47" s="10"/>
      <c r="H47" s="10"/>
      <c r="I47" s="10"/>
      <c r="J47" s="10"/>
      <c r="K47" s="10"/>
      <c r="L47" s="10"/>
      <c r="M47" s="10"/>
      <c r="N47" s="10"/>
      <c r="O47" s="59" t="s">
        <v>132</v>
      </c>
    </row>
    <row r="48" spans="1:15" x14ac:dyDescent="0.2">
      <c r="A48" s="31">
        <v>46024</v>
      </c>
      <c r="B48" s="32" t="s">
        <v>64</v>
      </c>
      <c r="C48" s="33"/>
      <c r="D48" s="33"/>
      <c r="E48" s="33"/>
      <c r="F48" s="33"/>
      <c r="G48" s="33"/>
      <c r="H48" s="33"/>
      <c r="I48" s="52">
        <v>2.79</v>
      </c>
      <c r="J48" s="33">
        <v>0</v>
      </c>
      <c r="K48" s="52">
        <v>3.68</v>
      </c>
      <c r="L48" s="33"/>
      <c r="M48" s="33"/>
      <c r="N48" s="33"/>
      <c r="O48" s="58" t="s">
        <v>133</v>
      </c>
    </row>
    <row r="49" spans="1:15" x14ac:dyDescent="0.2">
      <c r="A49" s="29">
        <v>46028</v>
      </c>
      <c r="B49" s="9" t="s">
        <v>66</v>
      </c>
      <c r="C49" s="10"/>
      <c r="D49" s="10"/>
      <c r="E49" s="10"/>
      <c r="F49" s="10"/>
      <c r="G49" s="10"/>
      <c r="H49" s="10"/>
      <c r="I49" s="10">
        <v>0</v>
      </c>
      <c r="J49" s="50">
        <v>3.68</v>
      </c>
      <c r="K49" s="10">
        <v>0</v>
      </c>
      <c r="L49" s="10"/>
      <c r="M49" s="10"/>
      <c r="N49" s="10"/>
      <c r="O49" s="59" t="s">
        <v>134</v>
      </c>
    </row>
    <row r="50" spans="1:15" x14ac:dyDescent="0.2">
      <c r="A50" s="31">
        <v>46028</v>
      </c>
      <c r="B50" s="32" t="s">
        <v>66</v>
      </c>
      <c r="C50" s="33"/>
      <c r="D50" s="33"/>
      <c r="E50" s="33"/>
      <c r="F50" s="52">
        <v>3.68</v>
      </c>
      <c r="G50" s="33">
        <v>0</v>
      </c>
      <c r="H50" s="52">
        <v>4.5599999999999996</v>
      </c>
      <c r="I50" s="33"/>
      <c r="J50" s="33"/>
      <c r="K50" s="33"/>
      <c r="L50" s="33"/>
      <c r="M50" s="33"/>
      <c r="N50" s="33"/>
      <c r="O50" s="58" t="s">
        <v>135</v>
      </c>
    </row>
    <row r="51" spans="1:15" x14ac:dyDescent="0.2">
      <c r="A51" s="29">
        <v>46031</v>
      </c>
      <c r="B51" s="9" t="s">
        <v>67</v>
      </c>
      <c r="C51" s="10"/>
      <c r="D51" s="10"/>
      <c r="E51" s="10"/>
      <c r="F51" s="10"/>
      <c r="G51" s="10"/>
      <c r="H51" s="10"/>
      <c r="I51" s="50">
        <v>2.1800000000000002</v>
      </c>
      <c r="J51" s="10">
        <v>0</v>
      </c>
      <c r="K51" s="50">
        <v>2.1800000000000002</v>
      </c>
      <c r="L51" s="10"/>
      <c r="M51" s="10"/>
      <c r="N51" s="10"/>
      <c r="O51" s="59" t="s">
        <v>136</v>
      </c>
    </row>
    <row r="52" spans="1:15" x14ac:dyDescent="0.2">
      <c r="A52" s="31">
        <v>46035</v>
      </c>
      <c r="B52" s="32" t="s">
        <v>64</v>
      </c>
      <c r="C52" s="33">
        <v>0</v>
      </c>
      <c r="D52" s="52">
        <v>0.12</v>
      </c>
      <c r="E52" s="52">
        <v>141.41</v>
      </c>
      <c r="F52" s="33"/>
      <c r="G52" s="33"/>
      <c r="H52" s="33"/>
      <c r="I52" s="33"/>
      <c r="J52" s="33"/>
      <c r="K52" s="33"/>
      <c r="L52" s="33"/>
      <c r="M52" s="33"/>
      <c r="N52" s="33"/>
      <c r="O52" s="58" t="s">
        <v>137</v>
      </c>
    </row>
    <row r="53" spans="1:15" x14ac:dyDescent="0.2">
      <c r="A53" s="29">
        <v>46035</v>
      </c>
      <c r="B53" s="9" t="s">
        <v>64</v>
      </c>
      <c r="C53" s="10"/>
      <c r="D53" s="10"/>
      <c r="E53" s="10"/>
      <c r="F53" s="10"/>
      <c r="G53" s="10"/>
      <c r="H53" s="10"/>
      <c r="I53" s="50">
        <v>0.02</v>
      </c>
      <c r="J53" s="10">
        <v>0</v>
      </c>
      <c r="K53" s="50">
        <v>2.2000000000000002</v>
      </c>
      <c r="L53" s="10"/>
      <c r="M53" s="10"/>
      <c r="N53" s="10"/>
      <c r="O53" s="59" t="s">
        <v>138</v>
      </c>
    </row>
    <row r="54" spans="1:15" x14ac:dyDescent="0.2">
      <c r="A54" s="31">
        <v>46036</v>
      </c>
      <c r="B54" s="32" t="s">
        <v>63</v>
      </c>
      <c r="C54" s="52">
        <v>47.66</v>
      </c>
      <c r="D54" s="33">
        <v>0</v>
      </c>
      <c r="E54" s="52">
        <v>189.07</v>
      </c>
      <c r="F54" s="33"/>
      <c r="G54" s="33"/>
      <c r="H54" s="33"/>
      <c r="I54" s="33"/>
      <c r="J54" s="33"/>
      <c r="K54" s="33"/>
      <c r="L54" s="33"/>
      <c r="M54" s="33"/>
      <c r="N54" s="33"/>
      <c r="O54" s="58" t="s">
        <v>139</v>
      </c>
    </row>
    <row r="55" spans="1:15" x14ac:dyDescent="0.2">
      <c r="A55" s="29">
        <v>46036</v>
      </c>
      <c r="B55" s="9" t="s">
        <v>62</v>
      </c>
      <c r="C55" s="10">
        <v>0</v>
      </c>
      <c r="D55" s="50">
        <v>3.34</v>
      </c>
      <c r="E55" s="50">
        <v>185.73</v>
      </c>
      <c r="F55" s="10"/>
      <c r="G55" s="10"/>
      <c r="H55" s="10"/>
      <c r="I55" s="10"/>
      <c r="J55" s="10"/>
      <c r="K55" s="10"/>
      <c r="L55" s="10"/>
      <c r="M55" s="10"/>
      <c r="N55" s="10"/>
      <c r="O55" s="59" t="s">
        <v>140</v>
      </c>
    </row>
    <row r="56" spans="1:15" x14ac:dyDescent="0.2">
      <c r="A56" s="31">
        <v>46041</v>
      </c>
      <c r="B56" s="32" t="s">
        <v>66</v>
      </c>
      <c r="C56" s="33"/>
      <c r="D56" s="33"/>
      <c r="E56" s="33"/>
      <c r="F56" s="33"/>
      <c r="G56" s="33"/>
      <c r="H56" s="33"/>
      <c r="I56" s="33">
        <v>0</v>
      </c>
      <c r="J56" s="52">
        <v>2.2000000000000002</v>
      </c>
      <c r="K56" s="33">
        <v>0</v>
      </c>
      <c r="L56" s="33"/>
      <c r="M56" s="33"/>
      <c r="N56" s="33"/>
      <c r="O56" s="58" t="s">
        <v>141</v>
      </c>
    </row>
    <row r="57" spans="1:15" x14ac:dyDescent="0.2">
      <c r="A57" s="29">
        <v>46041</v>
      </c>
      <c r="B57" s="9" t="s">
        <v>66</v>
      </c>
      <c r="C57" s="10"/>
      <c r="D57" s="10"/>
      <c r="E57" s="10"/>
      <c r="F57" s="50">
        <v>2.2000000000000002</v>
      </c>
      <c r="G57" s="10">
        <v>0</v>
      </c>
      <c r="H57" s="50">
        <v>6.76</v>
      </c>
      <c r="I57" s="10"/>
      <c r="J57" s="10"/>
      <c r="K57" s="10"/>
      <c r="L57" s="10"/>
      <c r="M57" s="10"/>
      <c r="N57" s="10"/>
      <c r="O57" s="59" t="s">
        <v>142</v>
      </c>
    </row>
    <row r="58" spans="1:15" x14ac:dyDescent="0.2">
      <c r="A58" s="31">
        <v>46041</v>
      </c>
      <c r="B58" s="32" t="s">
        <v>403</v>
      </c>
      <c r="C58" s="33">
        <v>0</v>
      </c>
      <c r="D58" s="52">
        <v>100000</v>
      </c>
      <c r="E58" s="36">
        <v>-99814.27</v>
      </c>
      <c r="F58" s="33"/>
      <c r="G58" s="33"/>
      <c r="H58" s="33"/>
      <c r="I58" s="33"/>
      <c r="J58" s="33"/>
      <c r="K58" s="33"/>
      <c r="L58" s="33"/>
      <c r="M58" s="33"/>
      <c r="N58" s="33"/>
      <c r="O58" s="58" t="s">
        <v>143</v>
      </c>
    </row>
    <row r="59" spans="1:15" x14ac:dyDescent="0.2">
      <c r="A59" s="29">
        <v>46041</v>
      </c>
      <c r="B59" s="9" t="s">
        <v>404</v>
      </c>
      <c r="C59" s="50">
        <v>105056.17</v>
      </c>
      <c r="D59" s="10">
        <v>0</v>
      </c>
      <c r="E59" s="50">
        <v>5241.8999999999996</v>
      </c>
      <c r="F59" s="10"/>
      <c r="G59" s="10"/>
      <c r="H59" s="10"/>
      <c r="I59" s="10"/>
      <c r="J59" s="10"/>
      <c r="K59" s="10"/>
      <c r="L59" s="10"/>
      <c r="M59" s="10"/>
      <c r="N59" s="10"/>
      <c r="O59" s="59" t="s">
        <v>144</v>
      </c>
    </row>
    <row r="60" spans="1:15" x14ac:dyDescent="0.2">
      <c r="A60" s="31">
        <v>46043</v>
      </c>
      <c r="B60" s="32" t="s">
        <v>405</v>
      </c>
      <c r="C60" s="52">
        <v>56819.33</v>
      </c>
      <c r="D60" s="33">
        <v>0</v>
      </c>
      <c r="E60" s="52">
        <v>62061.23</v>
      </c>
      <c r="F60" s="33"/>
      <c r="G60" s="33"/>
      <c r="H60" s="33"/>
      <c r="I60" s="33"/>
      <c r="J60" s="33"/>
      <c r="K60" s="33"/>
      <c r="L60" s="33"/>
      <c r="M60" s="33"/>
      <c r="N60" s="33"/>
      <c r="O60" s="58" t="s">
        <v>145</v>
      </c>
    </row>
    <row r="61" spans="1:15" x14ac:dyDescent="0.2">
      <c r="A61" s="29">
        <v>46044</v>
      </c>
      <c r="B61" s="9" t="s">
        <v>406</v>
      </c>
      <c r="C61" s="10">
        <v>0</v>
      </c>
      <c r="D61" s="50">
        <v>62061.23</v>
      </c>
      <c r="E61" s="10">
        <v>0</v>
      </c>
      <c r="F61" s="10"/>
      <c r="G61" s="10"/>
      <c r="H61" s="10"/>
      <c r="I61" s="10"/>
      <c r="J61" s="10"/>
      <c r="K61" s="10"/>
      <c r="L61" s="10"/>
      <c r="M61" s="10"/>
      <c r="N61" s="10"/>
      <c r="O61" s="59" t="s">
        <v>146</v>
      </c>
    </row>
    <row r="62" spans="1:15" x14ac:dyDescent="0.2">
      <c r="A62" s="31">
        <v>46064</v>
      </c>
      <c r="B62" s="32" t="s">
        <v>64</v>
      </c>
      <c r="C62" s="33">
        <v>0</v>
      </c>
      <c r="D62" s="52">
        <v>0.18</v>
      </c>
      <c r="E62" s="36">
        <v>-0.18</v>
      </c>
      <c r="F62" s="33"/>
      <c r="G62" s="33"/>
      <c r="H62" s="33"/>
      <c r="I62" s="33"/>
      <c r="J62" s="33"/>
      <c r="K62" s="33"/>
      <c r="L62" s="33"/>
      <c r="M62" s="33"/>
      <c r="N62" s="33"/>
      <c r="O62" s="58" t="s">
        <v>147</v>
      </c>
    </row>
    <row r="63" spans="1:15" x14ac:dyDescent="0.2">
      <c r="A63" s="29">
        <v>46064</v>
      </c>
      <c r="B63" s="9" t="s">
        <v>64</v>
      </c>
      <c r="C63" s="10"/>
      <c r="D63" s="10"/>
      <c r="E63" s="10"/>
      <c r="F63" s="10"/>
      <c r="G63" s="10"/>
      <c r="H63" s="10"/>
      <c r="I63" s="50">
        <v>0.03</v>
      </c>
      <c r="J63" s="10">
        <v>0</v>
      </c>
      <c r="K63" s="50">
        <v>0.03</v>
      </c>
      <c r="L63" s="10"/>
      <c r="M63" s="10"/>
      <c r="N63" s="10"/>
      <c r="O63" s="59" t="s">
        <v>148</v>
      </c>
    </row>
    <row r="64" spans="1:15" x14ac:dyDescent="0.2">
      <c r="A64" s="31">
        <v>46064</v>
      </c>
      <c r="B64" s="32" t="s">
        <v>63</v>
      </c>
      <c r="C64" s="52">
        <v>49.02</v>
      </c>
      <c r="D64" s="33">
        <v>0</v>
      </c>
      <c r="E64" s="52">
        <v>48.84</v>
      </c>
      <c r="F64" s="33"/>
      <c r="G64" s="33"/>
      <c r="H64" s="33"/>
      <c r="I64" s="33"/>
      <c r="J64" s="33"/>
      <c r="K64" s="33"/>
      <c r="L64" s="33"/>
      <c r="M64" s="33"/>
      <c r="N64" s="33"/>
      <c r="O64" s="58" t="s">
        <v>149</v>
      </c>
    </row>
    <row r="65" spans="1:15" x14ac:dyDescent="0.2">
      <c r="A65" s="29">
        <v>46064</v>
      </c>
      <c r="B65" s="9" t="s">
        <v>62</v>
      </c>
      <c r="C65" s="10">
        <v>0</v>
      </c>
      <c r="D65" s="50">
        <v>3.44</v>
      </c>
      <c r="E65" s="50">
        <v>45.4</v>
      </c>
      <c r="F65" s="10"/>
      <c r="G65" s="10"/>
      <c r="H65" s="10"/>
      <c r="I65" s="10"/>
      <c r="J65" s="10"/>
      <c r="K65" s="10"/>
      <c r="L65" s="10"/>
      <c r="M65" s="10"/>
      <c r="N65" s="10"/>
      <c r="O65" s="59" t="s">
        <v>150</v>
      </c>
    </row>
    <row r="66" spans="1:15" x14ac:dyDescent="0.2">
      <c r="A66" s="31">
        <v>46092</v>
      </c>
      <c r="B66" s="32" t="s">
        <v>63</v>
      </c>
      <c r="C66" s="52">
        <v>50.43</v>
      </c>
      <c r="D66" s="33">
        <v>0</v>
      </c>
      <c r="E66" s="52">
        <v>95.83</v>
      </c>
      <c r="F66" s="33"/>
      <c r="G66" s="33"/>
      <c r="H66" s="33"/>
      <c r="I66" s="33"/>
      <c r="J66" s="33"/>
      <c r="K66" s="33"/>
      <c r="L66" s="33"/>
      <c r="M66" s="33"/>
      <c r="N66" s="33"/>
      <c r="O66" s="58" t="s">
        <v>151</v>
      </c>
    </row>
    <row r="67" spans="1:15" x14ac:dyDescent="0.2">
      <c r="A67" s="29">
        <v>46092</v>
      </c>
      <c r="B67" s="9" t="s">
        <v>62</v>
      </c>
      <c r="C67" s="10">
        <v>0</v>
      </c>
      <c r="D67" s="50">
        <v>3.54</v>
      </c>
      <c r="E67" s="50">
        <v>92.29</v>
      </c>
      <c r="F67" s="10"/>
      <c r="G67" s="10"/>
      <c r="H67" s="10"/>
      <c r="I67" s="10"/>
      <c r="J67" s="10"/>
      <c r="K67" s="10"/>
      <c r="L67" s="10"/>
      <c r="M67" s="10"/>
      <c r="N67" s="10"/>
      <c r="O67" s="59" t="s">
        <v>152</v>
      </c>
    </row>
    <row r="68" spans="1:15" x14ac:dyDescent="0.2">
      <c r="A68" s="31">
        <v>46098</v>
      </c>
      <c r="B68" s="32" t="s">
        <v>65</v>
      </c>
      <c r="C68" s="33">
        <v>0</v>
      </c>
      <c r="D68" s="52">
        <v>2.64</v>
      </c>
      <c r="E68" s="52">
        <v>89.65</v>
      </c>
      <c r="F68" s="33"/>
      <c r="G68" s="33"/>
      <c r="H68" s="33"/>
      <c r="I68" s="33"/>
      <c r="J68" s="33"/>
      <c r="K68" s="33"/>
      <c r="L68" s="33"/>
      <c r="M68" s="33"/>
      <c r="N68" s="33"/>
      <c r="O68" s="58" t="s">
        <v>153</v>
      </c>
    </row>
    <row r="69" spans="1:15" x14ac:dyDescent="0.2">
      <c r="A69" s="29">
        <v>46098</v>
      </c>
      <c r="B69" s="9" t="s">
        <v>65</v>
      </c>
      <c r="C69" s="10"/>
      <c r="D69" s="10"/>
      <c r="E69" s="10"/>
      <c r="F69" s="10"/>
      <c r="G69" s="10"/>
      <c r="H69" s="10"/>
      <c r="I69" s="50">
        <v>0.44</v>
      </c>
      <c r="J69" s="10">
        <v>0</v>
      </c>
      <c r="K69" s="50">
        <v>0.47</v>
      </c>
      <c r="L69" s="10"/>
      <c r="M69" s="10"/>
      <c r="N69" s="10"/>
      <c r="O69" s="59" t="s">
        <v>154</v>
      </c>
    </row>
    <row r="70" spans="1:15" x14ac:dyDescent="0.2">
      <c r="A70" s="31">
        <v>46099</v>
      </c>
      <c r="B70" s="32" t="s">
        <v>64</v>
      </c>
      <c r="C70" s="33">
        <v>0</v>
      </c>
      <c r="D70" s="52">
        <v>2.94</v>
      </c>
      <c r="E70" s="52">
        <v>86.71</v>
      </c>
      <c r="F70" s="33"/>
      <c r="G70" s="33"/>
      <c r="H70" s="33"/>
      <c r="I70" s="33"/>
      <c r="J70" s="33"/>
      <c r="K70" s="33"/>
      <c r="L70" s="33"/>
      <c r="M70" s="33"/>
      <c r="N70" s="33"/>
      <c r="O70" s="58" t="s">
        <v>155</v>
      </c>
    </row>
    <row r="71" spans="1:15" x14ac:dyDescent="0.2">
      <c r="A71" s="29">
        <v>46099</v>
      </c>
      <c r="B71" s="9" t="s">
        <v>64</v>
      </c>
      <c r="C71" s="10"/>
      <c r="D71" s="10"/>
      <c r="E71" s="10"/>
      <c r="F71" s="10"/>
      <c r="G71" s="10"/>
      <c r="H71" s="10"/>
      <c r="I71" s="50">
        <v>0.49</v>
      </c>
      <c r="J71" s="10">
        <v>0</v>
      </c>
      <c r="K71" s="50">
        <v>0.96</v>
      </c>
      <c r="L71" s="10"/>
      <c r="M71" s="10"/>
      <c r="N71" s="10"/>
      <c r="O71" s="59" t="s">
        <v>156</v>
      </c>
    </row>
    <row r="72" spans="1:15" x14ac:dyDescent="0.2">
      <c r="A72" s="31">
        <v>46111</v>
      </c>
      <c r="B72" s="32" t="s">
        <v>407</v>
      </c>
      <c r="C72" s="52">
        <v>7000000</v>
      </c>
      <c r="D72" s="33">
        <v>0</v>
      </c>
      <c r="E72" s="52">
        <v>7000086.71</v>
      </c>
      <c r="F72" s="33"/>
      <c r="G72" s="33"/>
      <c r="H72" s="33"/>
      <c r="I72" s="33"/>
      <c r="J72" s="33"/>
      <c r="K72" s="33"/>
      <c r="L72" s="33"/>
      <c r="M72" s="33"/>
      <c r="N72" s="33"/>
      <c r="O72" s="58" t="s">
        <v>157</v>
      </c>
    </row>
    <row r="73" spans="1:15" x14ac:dyDescent="0.2">
      <c r="A73" s="29">
        <v>46111</v>
      </c>
      <c r="B73" s="9" t="s">
        <v>408</v>
      </c>
      <c r="C73" s="10"/>
      <c r="D73" s="10"/>
      <c r="E73" s="10"/>
      <c r="F73" s="50">
        <v>10000</v>
      </c>
      <c r="G73" s="10">
        <v>0</v>
      </c>
      <c r="H73" s="50">
        <v>10006.76</v>
      </c>
      <c r="I73" s="10"/>
      <c r="J73" s="10"/>
      <c r="K73" s="10"/>
      <c r="L73" s="10"/>
      <c r="M73" s="10"/>
      <c r="N73" s="10"/>
      <c r="O73" s="59" t="s">
        <v>158</v>
      </c>
    </row>
    <row r="74" spans="1:15" x14ac:dyDescent="0.2">
      <c r="A74" s="31">
        <v>46111</v>
      </c>
      <c r="B74" s="32" t="s">
        <v>409</v>
      </c>
      <c r="C74" s="33">
        <v>0</v>
      </c>
      <c r="D74" s="52">
        <v>6998348.4699999997</v>
      </c>
      <c r="E74" s="52">
        <v>1738.24</v>
      </c>
      <c r="F74" s="33"/>
      <c r="G74" s="33"/>
      <c r="H74" s="33"/>
      <c r="I74" s="33"/>
      <c r="J74" s="33"/>
      <c r="K74" s="33"/>
      <c r="L74" s="33"/>
      <c r="M74" s="33"/>
      <c r="N74" s="33"/>
      <c r="O74" s="58" t="s">
        <v>159</v>
      </c>
    </row>
    <row r="75" spans="1:15" x14ac:dyDescent="0.2">
      <c r="A75" s="29">
        <v>46111</v>
      </c>
      <c r="B75" s="9" t="s">
        <v>410</v>
      </c>
      <c r="C75" s="10">
        <v>0</v>
      </c>
      <c r="D75" s="50">
        <v>162.56</v>
      </c>
      <c r="E75" s="50">
        <v>1575.68</v>
      </c>
      <c r="F75" s="10"/>
      <c r="G75" s="10"/>
      <c r="H75" s="10"/>
      <c r="I75" s="10"/>
      <c r="J75" s="10"/>
      <c r="K75" s="10"/>
      <c r="L75" s="10"/>
      <c r="M75" s="10"/>
      <c r="N75" s="10"/>
      <c r="O75" s="59" t="s">
        <v>160</v>
      </c>
    </row>
    <row r="76" spans="1:15" x14ac:dyDescent="0.2">
      <c r="A76" s="31">
        <v>46111</v>
      </c>
      <c r="B76" s="32" t="s">
        <v>410</v>
      </c>
      <c r="C76" s="33"/>
      <c r="D76" s="33"/>
      <c r="E76" s="33"/>
      <c r="F76" s="33"/>
      <c r="G76" s="33"/>
      <c r="H76" s="33"/>
      <c r="I76" s="33"/>
      <c r="J76" s="33"/>
      <c r="K76" s="33"/>
      <c r="L76" s="52">
        <v>4679.72</v>
      </c>
      <c r="M76" s="33">
        <v>0</v>
      </c>
      <c r="N76" s="52">
        <v>4679.72</v>
      </c>
      <c r="O76" s="58" t="s">
        <v>161</v>
      </c>
    </row>
    <row r="77" spans="1:15" x14ac:dyDescent="0.2">
      <c r="A77" s="29">
        <v>46112</v>
      </c>
      <c r="B77" s="9" t="s">
        <v>411</v>
      </c>
      <c r="C77" s="10">
        <v>0</v>
      </c>
      <c r="D77" s="50">
        <v>49.11</v>
      </c>
      <c r="E77" s="50">
        <v>1526.57</v>
      </c>
      <c r="F77" s="10"/>
      <c r="G77" s="10"/>
      <c r="H77" s="10"/>
      <c r="I77" s="10"/>
      <c r="J77" s="10"/>
      <c r="K77" s="10"/>
      <c r="L77" s="10"/>
      <c r="M77" s="10"/>
      <c r="N77" s="10"/>
      <c r="O77" s="59" t="s">
        <v>162</v>
      </c>
    </row>
    <row r="78" spans="1:15" x14ac:dyDescent="0.2">
      <c r="A78" s="31">
        <v>46112</v>
      </c>
      <c r="B78" s="32" t="s">
        <v>411</v>
      </c>
      <c r="C78" s="33"/>
      <c r="D78" s="33"/>
      <c r="E78" s="33"/>
      <c r="F78" s="33">
        <v>0</v>
      </c>
      <c r="G78" s="52">
        <v>1412.09</v>
      </c>
      <c r="H78" s="52">
        <v>8594.67</v>
      </c>
      <c r="I78" s="33"/>
      <c r="J78" s="33"/>
      <c r="K78" s="33"/>
      <c r="L78" s="33"/>
      <c r="M78" s="33"/>
      <c r="N78" s="33"/>
      <c r="O78" s="58" t="s">
        <v>163</v>
      </c>
    </row>
    <row r="79" spans="1:15" x14ac:dyDescent="0.2">
      <c r="A79" s="29">
        <v>46112</v>
      </c>
      <c r="B79" s="9" t="s">
        <v>412</v>
      </c>
      <c r="C79" s="10">
        <v>0</v>
      </c>
      <c r="D79" s="50">
        <v>47.4</v>
      </c>
      <c r="E79" s="50">
        <v>1479.17</v>
      </c>
      <c r="F79" s="10"/>
      <c r="G79" s="10"/>
      <c r="H79" s="10"/>
      <c r="I79" s="10"/>
      <c r="J79" s="10"/>
      <c r="K79" s="10"/>
      <c r="L79" s="10"/>
      <c r="M79" s="10"/>
      <c r="N79" s="10"/>
      <c r="O79" s="59" t="s">
        <v>164</v>
      </c>
    </row>
    <row r="80" spans="1:15" x14ac:dyDescent="0.2">
      <c r="A80" s="31">
        <v>46112</v>
      </c>
      <c r="B80" s="32" t="s">
        <v>412</v>
      </c>
      <c r="C80" s="33"/>
      <c r="D80" s="33"/>
      <c r="E80" s="33"/>
      <c r="F80" s="33"/>
      <c r="G80" s="33"/>
      <c r="H80" s="33"/>
      <c r="I80" s="33"/>
      <c r="J80" s="33"/>
      <c r="K80" s="33"/>
      <c r="L80" s="52">
        <v>1349.46</v>
      </c>
      <c r="M80" s="33">
        <v>0</v>
      </c>
      <c r="N80" s="52">
        <v>6029.18</v>
      </c>
      <c r="O80" s="58" t="s">
        <v>165</v>
      </c>
    </row>
    <row r="81" spans="1:15" x14ac:dyDescent="0.2">
      <c r="A81" s="29">
        <v>46113</v>
      </c>
      <c r="B81" s="9" t="s">
        <v>413</v>
      </c>
      <c r="C81" s="10">
        <v>0</v>
      </c>
      <c r="D81" s="50">
        <v>2415.54</v>
      </c>
      <c r="E81" s="13">
        <v>-936.37</v>
      </c>
      <c r="F81" s="10"/>
      <c r="G81" s="10"/>
      <c r="H81" s="10"/>
      <c r="I81" s="10"/>
      <c r="J81" s="10"/>
      <c r="K81" s="10"/>
      <c r="L81" s="10"/>
      <c r="M81" s="10"/>
      <c r="N81" s="10"/>
      <c r="O81" s="59" t="s">
        <v>166</v>
      </c>
    </row>
    <row r="82" spans="1:15" x14ac:dyDescent="0.2">
      <c r="A82" s="31">
        <v>46113</v>
      </c>
      <c r="B82" s="32" t="s">
        <v>413</v>
      </c>
      <c r="C82" s="33"/>
      <c r="D82" s="33"/>
      <c r="E82" s="33"/>
      <c r="F82" s="33">
        <v>0</v>
      </c>
      <c r="G82" s="52">
        <v>1061.58</v>
      </c>
      <c r="H82" s="52">
        <v>7533.09</v>
      </c>
      <c r="I82" s="33"/>
      <c r="J82" s="33"/>
      <c r="K82" s="33"/>
      <c r="L82" s="33"/>
      <c r="M82" s="33"/>
      <c r="N82" s="33"/>
      <c r="O82" s="58" t="s">
        <v>167</v>
      </c>
    </row>
    <row r="83" spans="1:15" x14ac:dyDescent="0.2">
      <c r="A83" s="29">
        <v>46113</v>
      </c>
      <c r="B83" s="9" t="s">
        <v>414</v>
      </c>
      <c r="C83" s="10"/>
      <c r="D83" s="10"/>
      <c r="E83" s="10"/>
      <c r="F83" s="10"/>
      <c r="G83" s="10"/>
      <c r="H83" s="10"/>
      <c r="I83" s="10"/>
      <c r="J83" s="10"/>
      <c r="K83" s="10"/>
      <c r="L83" s="10">
        <v>0</v>
      </c>
      <c r="M83" s="50">
        <v>6030</v>
      </c>
      <c r="N83" s="13">
        <v>-0.82</v>
      </c>
      <c r="O83" s="59" t="s">
        <v>168</v>
      </c>
    </row>
    <row r="84" spans="1:15" x14ac:dyDescent="0.2">
      <c r="A84" s="31">
        <v>46122</v>
      </c>
      <c r="B84" s="32" t="s">
        <v>415</v>
      </c>
      <c r="C84" s="33">
        <v>0</v>
      </c>
      <c r="D84" s="52">
        <v>105.25</v>
      </c>
      <c r="E84" s="36">
        <v>-1041.6199999999999</v>
      </c>
      <c r="F84" s="33"/>
      <c r="G84" s="33"/>
      <c r="H84" s="33"/>
      <c r="I84" s="33"/>
      <c r="J84" s="33"/>
      <c r="K84" s="33"/>
      <c r="L84" s="33"/>
      <c r="M84" s="33"/>
      <c r="N84" s="33"/>
      <c r="O84" s="58" t="s">
        <v>169</v>
      </c>
    </row>
    <row r="85" spans="1:15" x14ac:dyDescent="0.2">
      <c r="A85" s="29">
        <v>46122</v>
      </c>
      <c r="B85" s="9" t="s">
        <v>415</v>
      </c>
      <c r="C85" s="10"/>
      <c r="D85" s="10"/>
      <c r="E85" s="10"/>
      <c r="F85" s="10">
        <v>0</v>
      </c>
      <c r="G85" s="50">
        <v>46.37</v>
      </c>
      <c r="H85" s="50">
        <v>7486.72</v>
      </c>
      <c r="I85" s="10"/>
      <c r="J85" s="10"/>
      <c r="K85" s="10"/>
      <c r="L85" s="10"/>
      <c r="M85" s="10"/>
      <c r="N85" s="10"/>
      <c r="O85" s="59" t="s">
        <v>170</v>
      </c>
    </row>
    <row r="86" spans="1:15" x14ac:dyDescent="0.2">
      <c r="A86" s="31">
        <v>46122</v>
      </c>
      <c r="B86" s="32" t="s">
        <v>416</v>
      </c>
      <c r="C86" s="52">
        <v>2000</v>
      </c>
      <c r="D86" s="33">
        <v>0</v>
      </c>
      <c r="E86" s="52">
        <v>958.38</v>
      </c>
      <c r="F86" s="33"/>
      <c r="G86" s="33"/>
      <c r="H86" s="33"/>
      <c r="I86" s="33"/>
      <c r="J86" s="33"/>
      <c r="K86" s="33"/>
      <c r="L86" s="33"/>
      <c r="M86" s="33"/>
      <c r="N86" s="33"/>
      <c r="O86" s="58" t="s">
        <v>171</v>
      </c>
    </row>
    <row r="87" spans="1:15" x14ac:dyDescent="0.2">
      <c r="A87" s="29">
        <v>46126</v>
      </c>
      <c r="B87" s="9" t="s">
        <v>417</v>
      </c>
      <c r="C87" s="10">
        <v>0</v>
      </c>
      <c r="D87" s="50">
        <v>1085.23</v>
      </c>
      <c r="E87" s="13">
        <v>-126.85</v>
      </c>
      <c r="F87" s="10"/>
      <c r="G87" s="10"/>
      <c r="H87" s="10"/>
      <c r="I87" s="10"/>
      <c r="J87" s="10"/>
      <c r="K87" s="10"/>
      <c r="L87" s="10"/>
      <c r="M87" s="10"/>
      <c r="N87" s="10"/>
      <c r="O87" s="59" t="s">
        <v>172</v>
      </c>
    </row>
    <row r="88" spans="1:15" x14ac:dyDescent="0.2">
      <c r="A88" s="31">
        <v>46126</v>
      </c>
      <c r="B88" s="32" t="s">
        <v>417</v>
      </c>
      <c r="C88" s="33"/>
      <c r="D88" s="33"/>
      <c r="E88" s="33"/>
      <c r="F88" s="33">
        <v>0</v>
      </c>
      <c r="G88" s="52">
        <v>487.22</v>
      </c>
      <c r="H88" s="52">
        <v>6999.5</v>
      </c>
      <c r="I88" s="33"/>
      <c r="J88" s="33"/>
      <c r="K88" s="33"/>
      <c r="L88" s="33"/>
      <c r="M88" s="33"/>
      <c r="N88" s="33"/>
      <c r="O88" s="58" t="s">
        <v>173</v>
      </c>
    </row>
    <row r="89" spans="1:15" x14ac:dyDescent="0.2">
      <c r="A89" s="29">
        <v>46126</v>
      </c>
      <c r="B89" s="9" t="s">
        <v>418</v>
      </c>
      <c r="C89" s="10"/>
      <c r="D89" s="10"/>
      <c r="E89" s="10"/>
      <c r="F89" s="10">
        <v>0</v>
      </c>
      <c r="G89" s="50">
        <v>1000</v>
      </c>
      <c r="H89" s="50">
        <v>5999.5</v>
      </c>
      <c r="I89" s="10"/>
      <c r="J89" s="10"/>
      <c r="K89" s="10"/>
      <c r="L89" s="10"/>
      <c r="M89" s="10"/>
      <c r="N89" s="10"/>
      <c r="O89" s="59" t="s">
        <v>174</v>
      </c>
    </row>
    <row r="90" spans="1:15" x14ac:dyDescent="0.2">
      <c r="A90" s="31">
        <v>46126</v>
      </c>
      <c r="B90" s="32" t="s">
        <v>419</v>
      </c>
      <c r="C90" s="33"/>
      <c r="D90" s="33"/>
      <c r="E90" s="33"/>
      <c r="F90" s="33">
        <v>0</v>
      </c>
      <c r="G90" s="52">
        <v>1000</v>
      </c>
      <c r="H90" s="52">
        <v>4999.5</v>
      </c>
      <c r="I90" s="33"/>
      <c r="J90" s="33"/>
      <c r="K90" s="33"/>
      <c r="L90" s="33"/>
      <c r="M90" s="33"/>
      <c r="N90" s="33"/>
      <c r="O90" s="58" t="s">
        <v>175</v>
      </c>
    </row>
    <row r="91" spans="1:15" x14ac:dyDescent="0.2">
      <c r="A91" s="29">
        <v>46127</v>
      </c>
      <c r="B91" s="9" t="s">
        <v>420</v>
      </c>
      <c r="C91" s="50">
        <v>1000</v>
      </c>
      <c r="D91" s="10">
        <v>0</v>
      </c>
      <c r="E91" s="50">
        <v>873.15</v>
      </c>
      <c r="F91" s="10"/>
      <c r="G91" s="10"/>
      <c r="H91" s="10"/>
      <c r="I91" s="10"/>
      <c r="J91" s="10"/>
      <c r="K91" s="10"/>
      <c r="L91" s="10"/>
      <c r="M91" s="10"/>
      <c r="N91" s="10"/>
      <c r="O91" s="59" t="s">
        <v>176</v>
      </c>
    </row>
    <row r="92" spans="1:15" x14ac:dyDescent="0.2">
      <c r="A92" s="31">
        <v>46127</v>
      </c>
      <c r="B92" s="32" t="s">
        <v>63</v>
      </c>
      <c r="C92" s="52">
        <v>51.9</v>
      </c>
      <c r="D92" s="33">
        <v>0</v>
      </c>
      <c r="E92" s="52">
        <v>925.05</v>
      </c>
      <c r="F92" s="33"/>
      <c r="G92" s="33"/>
      <c r="H92" s="33"/>
      <c r="I92" s="33"/>
      <c r="J92" s="33"/>
      <c r="K92" s="33"/>
      <c r="L92" s="33"/>
      <c r="M92" s="33"/>
      <c r="N92" s="33"/>
      <c r="O92" s="58" t="s">
        <v>177</v>
      </c>
    </row>
    <row r="93" spans="1:15" x14ac:dyDescent="0.2">
      <c r="A93" s="29">
        <v>46127</v>
      </c>
      <c r="B93" s="9" t="s">
        <v>62</v>
      </c>
      <c r="C93" s="10">
        <v>0</v>
      </c>
      <c r="D93" s="50">
        <v>3.64</v>
      </c>
      <c r="E93" s="50">
        <v>921.41</v>
      </c>
      <c r="F93" s="10"/>
      <c r="G93" s="10"/>
      <c r="H93" s="10"/>
      <c r="I93" s="10"/>
      <c r="J93" s="10"/>
      <c r="K93" s="10"/>
      <c r="L93" s="10"/>
      <c r="M93" s="10"/>
      <c r="N93" s="10"/>
      <c r="O93" s="59" t="s">
        <v>178</v>
      </c>
    </row>
    <row r="94" spans="1:15" x14ac:dyDescent="0.2">
      <c r="A94" s="31">
        <v>46148</v>
      </c>
      <c r="B94" s="32" t="s">
        <v>421</v>
      </c>
      <c r="C94" s="33"/>
      <c r="D94" s="33"/>
      <c r="E94" s="33"/>
      <c r="F94" s="52">
        <v>998.05</v>
      </c>
      <c r="G94" s="33">
        <v>0</v>
      </c>
      <c r="H94" s="52">
        <v>5997.55</v>
      </c>
      <c r="I94" s="33"/>
      <c r="J94" s="33"/>
      <c r="K94" s="33"/>
      <c r="L94" s="33"/>
      <c r="M94" s="33"/>
      <c r="N94" s="33"/>
      <c r="O94" s="58" t="s">
        <v>231</v>
      </c>
    </row>
    <row r="95" spans="1:15" x14ac:dyDescent="0.2">
      <c r="A95" s="29">
        <v>46148</v>
      </c>
      <c r="B95" s="9" t="s">
        <v>422</v>
      </c>
      <c r="C95" s="10"/>
      <c r="D95" s="10"/>
      <c r="E95" s="10"/>
      <c r="F95" s="50">
        <v>999.82</v>
      </c>
      <c r="G95" s="10">
        <v>0</v>
      </c>
      <c r="H95" s="50">
        <v>6997.37</v>
      </c>
      <c r="I95" s="10"/>
      <c r="J95" s="10"/>
      <c r="K95" s="10"/>
      <c r="L95" s="10"/>
      <c r="M95" s="10"/>
      <c r="N95" s="10"/>
      <c r="O95" s="59" t="s">
        <v>232</v>
      </c>
    </row>
    <row r="96" spans="1:15" x14ac:dyDescent="0.2">
      <c r="A96" s="31">
        <v>46149</v>
      </c>
      <c r="B96" s="32" t="s">
        <v>423</v>
      </c>
      <c r="C96" s="33">
        <v>0</v>
      </c>
      <c r="D96" s="52">
        <v>2830531.87</v>
      </c>
      <c r="E96" s="36">
        <v>-2829610.46</v>
      </c>
      <c r="F96" s="33"/>
      <c r="G96" s="33"/>
      <c r="H96" s="33"/>
      <c r="I96" s="33"/>
      <c r="J96" s="33"/>
      <c r="K96" s="33"/>
      <c r="L96" s="33"/>
      <c r="M96" s="33"/>
      <c r="N96" s="33"/>
      <c r="O96" s="58" t="s">
        <v>233</v>
      </c>
    </row>
    <row r="97" spans="1:15" x14ac:dyDescent="0.2">
      <c r="A97" s="29">
        <v>46149</v>
      </c>
      <c r="B97" s="9" t="s">
        <v>424</v>
      </c>
      <c r="C97" s="10"/>
      <c r="D97" s="10"/>
      <c r="E97" s="10"/>
      <c r="F97" s="10">
        <v>0</v>
      </c>
      <c r="G97" s="50">
        <v>1520</v>
      </c>
      <c r="H97" s="50">
        <v>5477.37</v>
      </c>
      <c r="I97" s="10"/>
      <c r="J97" s="10"/>
      <c r="K97" s="10"/>
      <c r="L97" s="10"/>
      <c r="M97" s="10"/>
      <c r="N97" s="10"/>
      <c r="O97" s="59" t="s">
        <v>234</v>
      </c>
    </row>
    <row r="98" spans="1:15" x14ac:dyDescent="0.2">
      <c r="A98" s="31">
        <v>46149</v>
      </c>
      <c r="B98" s="32" t="s">
        <v>425</v>
      </c>
      <c r="C98" s="33">
        <v>0</v>
      </c>
      <c r="D98" s="52">
        <v>69.040000000000006</v>
      </c>
      <c r="E98" s="36">
        <v>-2829679.5</v>
      </c>
      <c r="F98" s="33"/>
      <c r="G98" s="33"/>
      <c r="H98" s="33"/>
      <c r="I98" s="33"/>
      <c r="J98" s="33"/>
      <c r="K98" s="33"/>
      <c r="L98" s="33"/>
      <c r="M98" s="33"/>
      <c r="N98" s="33"/>
      <c r="O98" s="58" t="s">
        <v>235</v>
      </c>
    </row>
    <row r="99" spans="1:15" x14ac:dyDescent="0.2">
      <c r="A99" s="29">
        <v>46149</v>
      </c>
      <c r="B99" s="9" t="s">
        <v>425</v>
      </c>
      <c r="C99" s="10"/>
      <c r="D99" s="10"/>
      <c r="E99" s="10"/>
      <c r="F99" s="10">
        <v>0</v>
      </c>
      <c r="G99" s="50">
        <v>1999.59</v>
      </c>
      <c r="H99" s="50">
        <v>3477.78</v>
      </c>
      <c r="I99" s="10"/>
      <c r="J99" s="10"/>
      <c r="K99" s="10"/>
      <c r="L99" s="10"/>
      <c r="M99" s="10"/>
      <c r="N99" s="10"/>
      <c r="O99" s="59" t="s">
        <v>236</v>
      </c>
    </row>
    <row r="100" spans="1:15" x14ac:dyDescent="0.2">
      <c r="A100" s="31">
        <v>46149</v>
      </c>
      <c r="B100" s="32" t="s">
        <v>426</v>
      </c>
      <c r="C100" s="52">
        <v>2829608.9</v>
      </c>
      <c r="D100" s="33">
        <v>0</v>
      </c>
      <c r="E100" s="36">
        <v>-70.599999999999994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58" t="s">
        <v>237</v>
      </c>
    </row>
    <row r="101" spans="1:15" x14ac:dyDescent="0.2">
      <c r="A101" s="29">
        <v>46149</v>
      </c>
      <c r="B101" s="9" t="s">
        <v>427</v>
      </c>
      <c r="C101" s="10"/>
      <c r="D101" s="10"/>
      <c r="E101" s="10"/>
      <c r="F101" s="10">
        <v>0</v>
      </c>
      <c r="G101" s="50">
        <v>2010</v>
      </c>
      <c r="H101" s="50">
        <v>1467.78</v>
      </c>
      <c r="I101" s="10"/>
      <c r="J101" s="10"/>
      <c r="K101" s="10"/>
      <c r="L101" s="10"/>
      <c r="M101" s="10"/>
      <c r="N101" s="10"/>
      <c r="O101" s="59" t="s">
        <v>238</v>
      </c>
    </row>
    <row r="102" spans="1:15" x14ac:dyDescent="0.2">
      <c r="A102" s="31">
        <v>46150</v>
      </c>
      <c r="B102" s="32" t="s">
        <v>63</v>
      </c>
      <c r="C102" s="52">
        <v>186.31</v>
      </c>
      <c r="D102" s="33">
        <v>0</v>
      </c>
      <c r="E102" s="52">
        <v>115.71</v>
      </c>
      <c r="F102" s="33"/>
      <c r="G102" s="33"/>
      <c r="H102" s="33"/>
      <c r="I102" s="33"/>
      <c r="J102" s="33"/>
      <c r="K102" s="33"/>
      <c r="L102" s="33"/>
      <c r="M102" s="33"/>
      <c r="N102" s="33"/>
      <c r="O102" s="58" t="s">
        <v>230</v>
      </c>
    </row>
    <row r="103" spans="1:15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 cm="1">
        <f t="array" ref="O103">IF(ISBLANK(E103),0,IFERROR(ROUND(INDEX(E$1:E102,MAX(IF(E$1:E102&lt;&gt;"",ROW(E$1:E102))))+C103-D103-E103,2),0))</f>
        <v>0</v>
      </c>
    </row>
    <row r="104" spans="1:15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 cm="1">
        <f t="array" ref="O104">IF(ISBLANK(E104),0,IFERROR(ROUND(INDEX(E$1:E103,MAX(IF(E$1:E103&lt;&gt;"",ROW(E$1:E103))))+C104-D104-E104,2),0))</f>
        <v>0</v>
      </c>
    </row>
    <row r="105" spans="1:15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 cm="1">
        <f t="array" ref="O105">IF(ISBLANK(E105),0,IFERROR(ROUND(INDEX(E$1:E104,MAX(IF(E$1:E104&lt;&gt;"",ROW(E$1:E104))))+C105-D105-E105,2),0))</f>
        <v>0</v>
      </c>
    </row>
    <row r="106" spans="1:15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 cm="1">
        <f t="array" ref="O106">IF(ISBLANK(E106),0,IFERROR(ROUND(INDEX(E$1:E105,MAX(IF(E$1:E105&lt;&gt;"",ROW(E$1:E105))))+C106-D106-E106,2),0))</f>
        <v>0</v>
      </c>
    </row>
    <row r="107" spans="1:15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 cm="1">
        <f t="array" ref="O107">IF(ISBLANK(E107),0,IFERROR(ROUND(INDEX(E$1:E106,MAX(IF(E$1:E106&lt;&gt;"",ROW(E$1:E106))))+C107-D107-E107,2),0))</f>
        <v>0</v>
      </c>
    </row>
    <row r="108" spans="1:15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 cm="1">
        <f t="array" ref="O108">IF(ISBLANK(E108),0,IFERROR(ROUND(INDEX(E$1:E107,MAX(IF(E$1:E107&lt;&gt;"",ROW(E$1:E107))))+C108-D108-E108,2),0))</f>
        <v>0</v>
      </c>
    </row>
    <row r="109" spans="1:15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 cm="1">
        <f t="array" ref="O109">IF(ISBLANK(E109),0,IFERROR(ROUND(INDEX(E$1:E108,MAX(IF(E$1:E108&lt;&gt;"",ROW(E$1:E108))))+C109-D109-E109,2),0))</f>
        <v>0</v>
      </c>
    </row>
    <row r="110" spans="1:15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 cm="1">
        <f t="array" ref="O110">IF(ISBLANK(E110),0,IFERROR(ROUND(INDEX(E$1:E109,MAX(IF(E$1:E109&lt;&gt;"",ROW(E$1:E109))))+C110-D110-E110,2),0))</f>
        <v>0</v>
      </c>
    </row>
    <row r="111" spans="1:15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 cm="1">
        <f t="array" ref="O111">IF(ISBLANK(E111),0,IFERROR(ROUND(INDEX(E$1:E110,MAX(IF(E$1:E110&lt;&gt;"",ROW(E$1:E110))))+C111-D111-E111,2),0))</f>
        <v>0</v>
      </c>
    </row>
    <row r="112" spans="1:15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 cm="1">
        <f t="array" ref="O112">IF(ISBLANK(E112),0,IFERROR(ROUND(INDEX(E$1:E111,MAX(IF(E$1:E111&lt;&gt;"",ROW(E$1:E111))))+C112-D112-E112,2),0))</f>
        <v>0</v>
      </c>
    </row>
    <row r="113" spans="1:15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 cm="1">
        <f t="array" ref="O113">IF(ISBLANK(E113),0,IFERROR(ROUND(INDEX(E$1:E112,MAX(IF(E$1:E112&lt;&gt;"",ROW(E$1:E112))))+C113-D113-E113,2),0))</f>
        <v>0</v>
      </c>
    </row>
    <row r="114" spans="1:15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 cm="1">
        <f t="array" ref="O114">IF(ISBLANK(E114),0,IFERROR(ROUND(INDEX(E$1:E113,MAX(IF(E$1:E113&lt;&gt;"",ROW(E$1:E113))))+C114-D114-E114,2),0))</f>
        <v>0</v>
      </c>
    </row>
    <row r="115" spans="1:15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 cm="1">
        <f t="array" ref="O115">IF(ISBLANK(E115),0,IFERROR(ROUND(INDEX(E$1:E114,MAX(IF(E$1:E114&lt;&gt;"",ROW(E$1:E114))))+C115-D115-E115,2),0))</f>
        <v>0</v>
      </c>
    </row>
    <row r="116" spans="1:15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 cm="1">
        <f t="array" ref="O116">IF(ISBLANK(E116),0,IFERROR(ROUND(INDEX(E$1:E115,MAX(IF(E$1:E115&lt;&gt;"",ROW(E$1:E115))))+C116-D116-E116,2),0))</f>
        <v>0</v>
      </c>
    </row>
    <row r="117" spans="1:15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 cm="1">
        <f t="array" ref="O117">IF(ISBLANK(E117),0,IFERROR(ROUND(INDEX(E$1:E116,MAX(IF(E$1:E116&lt;&gt;"",ROW(E$1:E116))))+C117-D117-E117,2),0))</f>
        <v>0</v>
      </c>
    </row>
    <row r="118" spans="1:15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cm="1">
        <f t="array" ref="O118">IF(ISBLANK(E118),0,IFERROR(ROUND(INDEX(E$1:E117,MAX(IF(E$1:E117&lt;&gt;"",ROW(E$1:E117))))+C118-D118-E118,2),0))</f>
        <v>0</v>
      </c>
    </row>
    <row r="119" spans="1:15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cm="1">
        <f t="array" ref="O119">IF(ISBLANK(E119),0,IFERROR(ROUND(INDEX(E$1:E118,MAX(IF(E$1:E118&lt;&gt;"",ROW(E$1:E118))))+C119-D119-E119,2),0))</f>
        <v>0</v>
      </c>
    </row>
    <row r="120" spans="1:15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 cm="1">
        <f t="array" ref="O120">IF(ISBLANK(E120),0,IFERROR(ROUND(INDEX(E$1:E119,MAX(IF(E$1:E119&lt;&gt;"",ROW(E$1:E119))))+C120-D120-E120,2),0))</f>
        <v>0</v>
      </c>
    </row>
    <row r="121" spans="1:15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 cm="1">
        <f t="array" ref="O121">IF(ISBLANK(E121),0,IFERROR(ROUND(INDEX(E$1:E120,MAX(IF(E$1:E120&lt;&gt;"",ROW(E$1:E120))))+C121-D121-E121,2),0))</f>
        <v>0</v>
      </c>
    </row>
    <row r="122" spans="1:15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cm="1">
        <f t="array" ref="O122">IF(ISBLANK(E122),0,IFERROR(ROUND(INDEX(E$1:E121,MAX(IF(E$1:E121&lt;&gt;"",ROW(E$1:E121))))+C122-D122-E122,2),0))</f>
        <v>0</v>
      </c>
    </row>
    <row r="123" spans="1:15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 cm="1">
        <f t="array" ref="O123">IF(ISBLANK(E123),0,IFERROR(ROUND(INDEX(E$1:E122,MAX(IF(E$1:E122&lt;&gt;"",ROW(E$1:E122))))+C123-D123-E123,2),0))</f>
        <v>0</v>
      </c>
    </row>
    <row r="124" spans="1:15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 cm="1">
        <f t="array" ref="O124">IF(ISBLANK(E124),0,IFERROR(ROUND(INDEX(E$1:E123,MAX(IF(E$1:E123&lt;&gt;"",ROW(E$1:E123))))+C124-D124-E124,2),0))</f>
        <v>0</v>
      </c>
    </row>
    <row r="125" spans="1:15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cm="1">
        <f t="array" ref="O125">IF(ISBLANK(E125),0,IFERROR(ROUND(INDEX(E$1:E124,MAX(IF(E$1:E124&lt;&gt;"",ROW(E$1:E124))))+C125-D125-E125,2),0))</f>
        <v>0</v>
      </c>
    </row>
    <row r="126" spans="1:15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 cm="1">
        <f t="array" ref="O126">IF(ISBLANK(E126),0,IFERROR(ROUND(INDEX(E$1:E125,MAX(IF(E$1:E125&lt;&gt;"",ROW(E$1:E125))))+C126-D126-E126,2),0))</f>
        <v>0</v>
      </c>
    </row>
    <row r="127" spans="1:15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 cm="1">
        <f t="array" ref="O127">IF(ISBLANK(E127),0,IFERROR(ROUND(INDEX(E$1:E126,MAX(IF(E$1:E126&lt;&gt;"",ROW(E$1:E126))))+C127-D127-E127,2),0))</f>
        <v>0</v>
      </c>
    </row>
    <row r="128" spans="1:15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 cm="1">
        <f t="array" ref="O128">IF(ISBLANK(E128),0,IFERROR(ROUND(INDEX(E$1:E127,MAX(IF(E$1:E127&lt;&gt;"",ROW(E$1:E127))))+C128-D128-E128,2),0))</f>
        <v>0</v>
      </c>
    </row>
    <row r="129" spans="1:15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 cm="1">
        <f t="array" ref="O129">IF(ISBLANK(E129),0,IFERROR(ROUND(INDEX(E$1:E128,MAX(IF(E$1:E128&lt;&gt;"",ROW(E$1:E128))))+C129-D129-E129,2),0))</f>
        <v>0</v>
      </c>
    </row>
    <row r="130" spans="1:15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 cm="1">
        <f t="array" ref="O130">IF(ISBLANK(E130),0,IFERROR(ROUND(INDEX(E$1:E129,MAX(IF(E$1:E129&lt;&gt;"",ROW(E$1:E129))))+C130-D130-E130,2),0))</f>
        <v>0</v>
      </c>
    </row>
    <row r="131" spans="1:15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cm="1">
        <f t="array" ref="O131">IF(ISBLANK(E131),0,IFERROR(ROUND(INDEX(E$1:E130,MAX(IF(E$1:E130&lt;&gt;"",ROW(E$1:E130))))+C131-D131-E131,2),0))</f>
        <v>0</v>
      </c>
    </row>
    <row r="132" spans="1:15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 cm="1">
        <f t="array" ref="O132">IF(ISBLANK(E132),0,IFERROR(ROUND(INDEX(E$1:E131,MAX(IF(E$1:E131&lt;&gt;"",ROW(E$1:E131))))+C132-D132-E132,2),0))</f>
        <v>0</v>
      </c>
    </row>
    <row r="133" spans="1:15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 cm="1">
        <f t="array" ref="O133">IF(ISBLANK(E133),0,IFERROR(ROUND(INDEX(E$1:E132,MAX(IF(E$1:E132&lt;&gt;"",ROW(E$1:E132))))+C133-D133-E133,2),0))</f>
        <v>0</v>
      </c>
    </row>
    <row r="134" spans="1:15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 cm="1">
        <f t="array" ref="O134">IF(ISBLANK(E134),0,IFERROR(ROUND(INDEX(E$1:E133,MAX(IF(E$1:E133&lt;&gt;"",ROW(E$1:E133))))+C134-D134-E134,2),0))</f>
        <v>0</v>
      </c>
    </row>
    <row r="135" spans="1:15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 cm="1">
        <f t="array" ref="O135">IF(ISBLANK(E135),0,IFERROR(ROUND(INDEX(E$1:E134,MAX(IF(E$1:E134&lt;&gt;"",ROW(E$1:E134))))+C135-D135-E135,2),0))</f>
        <v>0</v>
      </c>
    </row>
    <row r="136" spans="1:15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 cm="1">
        <f t="array" ref="O136">IF(ISBLANK(E136),0,IFERROR(ROUND(INDEX(E$1:E135,MAX(IF(E$1:E135&lt;&gt;"",ROW(E$1:E135))))+C136-D136-E136,2),0))</f>
        <v>0</v>
      </c>
    </row>
    <row r="137" spans="1:15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 cm="1">
        <f t="array" ref="O137">IF(ISBLANK(E137),0,IFERROR(ROUND(INDEX(E$1:E136,MAX(IF(E$1:E136&lt;&gt;"",ROW(E$1:E136))))+C137-D137-E137,2),0))</f>
        <v>0</v>
      </c>
    </row>
    <row r="138" spans="1:15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 cm="1">
        <f t="array" ref="O138">IF(ISBLANK(E138),0,IFERROR(ROUND(INDEX(E$1:E137,MAX(IF(E$1:E137&lt;&gt;"",ROW(E$1:E137))))+C138-D138-E138,2),0))</f>
        <v>0</v>
      </c>
    </row>
    <row r="139" spans="1:15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 cm="1">
        <f t="array" ref="O139">IF(ISBLANK(E139),0,IFERROR(ROUND(INDEX(E$1:E138,MAX(IF(E$1:E138&lt;&gt;"",ROW(E$1:E138))))+C139-D139-E139,2),0))</f>
        <v>0</v>
      </c>
    </row>
    <row r="140" spans="1:15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 cm="1">
        <f t="array" ref="O140">IF(ISBLANK(E140),0,IFERROR(ROUND(INDEX(E$1:E139,MAX(IF(E$1:E139&lt;&gt;"",ROW(E$1:E139))))+C140-D140-E140,2),0))</f>
        <v>0</v>
      </c>
    </row>
    <row r="141" spans="1:15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 cm="1">
        <f t="array" ref="O141">IF(ISBLANK(E141),0,IFERROR(ROUND(INDEX(E$1:E140,MAX(IF(E$1:E140&lt;&gt;"",ROW(E$1:E140))))+C141-D141-E141,2),0))</f>
        <v>0</v>
      </c>
    </row>
    <row r="142" spans="1:15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 cm="1">
        <f t="array" ref="O142">IF(ISBLANK(E142),0,IFERROR(ROUND(INDEX(E$1:E141,MAX(IF(E$1:E141&lt;&gt;"",ROW(E$1:E141))))+C142-D142-E142,2),0))</f>
        <v>0</v>
      </c>
    </row>
    <row r="143" spans="1:15" x14ac:dyDescent="0.2">
      <c r="A143" s="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2" cm="1">
        <f t="array" ref="O143">IF(ISBLANK(E143),0,IFERROR(ROUND(INDEX(E$1:E142,MAX(IF(E$1:E142&lt;&gt;"",ROW(E$1:E142))))+C143-D143-E143,2),0))</f>
        <v>0</v>
      </c>
    </row>
    <row r="144" spans="1:15" x14ac:dyDescent="0.2">
      <c r="A144" s="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2" cm="1">
        <f t="array" ref="O144">IF(ISBLANK(E144),0,IFERROR(ROUND(INDEX(E$1:E143,MAX(IF(E$1:E143&lt;&gt;"",ROW(E$1:E143))))+C144-D144-E144,2),0))</f>
        <v>0</v>
      </c>
    </row>
    <row r="145" spans="1:15" x14ac:dyDescent="0.2">
      <c r="A145" s="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2" cm="1">
        <f t="array" ref="O145">IF(ISBLANK(E145),0,IFERROR(ROUND(INDEX(E$1:E144,MAX(IF(E$1:E144&lt;&gt;"",ROW(E$1:E144))))+C145-D145-E145,2),0))</f>
        <v>0</v>
      </c>
    </row>
    <row r="146" spans="1:15" x14ac:dyDescent="0.2">
      <c r="A146" s="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2" cm="1">
        <f t="array" ref="O146">IF(ISBLANK(E146),0,IFERROR(ROUND(INDEX(E$1:E145,MAX(IF(E$1:E145&lt;&gt;"",ROW(E$1:E145))))+C146-D146-E146,2),0))</f>
        <v>0</v>
      </c>
    </row>
    <row r="147" spans="1:15" x14ac:dyDescent="0.2">
      <c r="A147" s="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2" cm="1">
        <f t="array" ref="O147">IF(ISBLANK(E147),0,IFERROR(ROUND(INDEX(E$1:E146,MAX(IF(E$1:E146&lt;&gt;"",ROW(E$1:E146))))+C147-D147-E147,2),0))</f>
        <v>0</v>
      </c>
    </row>
    <row r="148" spans="1:15" x14ac:dyDescent="0.2">
      <c r="A148" s="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2" cm="1">
        <f t="array" ref="O148">IF(ISBLANK(E148),0,IFERROR(ROUND(INDEX(E$1:E147,MAX(IF(E$1:E147&lt;&gt;"",ROW(E$1:E147))))+C148-D148-E148,2),0))</f>
        <v>0</v>
      </c>
    </row>
    <row r="149" spans="1:15" x14ac:dyDescent="0.2">
      <c r="A149" s="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2" cm="1">
        <f t="array" ref="O149">IF(ISBLANK(E149),0,IFERROR(ROUND(INDEX(E$1:E148,MAX(IF(E$1:E148&lt;&gt;"",ROW(E$1:E148))))+C149-D149-E149,2),0))</f>
        <v>0</v>
      </c>
    </row>
    <row r="150" spans="1:15" x14ac:dyDescent="0.2">
      <c r="A150" s="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2" cm="1">
        <f t="array" ref="O150">IF(ISBLANK(E150),0,IFERROR(ROUND(INDEX(E$1:E149,MAX(IF(E$1:E149&lt;&gt;"",ROW(E$1:E149))))+C150-D150-E150,2),0))</f>
        <v>0</v>
      </c>
    </row>
    <row r="151" spans="1:15" x14ac:dyDescent="0.2">
      <c r="A151" s="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2" cm="1">
        <f t="array" ref="O151">IF(ISBLANK(E151),0,IFERROR(ROUND(INDEX(E$1:E150,MAX(IF(E$1:E150&lt;&gt;"",ROW(E$1:E150))))+C151-D151-E151,2),0))</f>
        <v>0</v>
      </c>
    </row>
    <row r="152" spans="1:15" x14ac:dyDescent="0.2">
      <c r="A152" s="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2" cm="1">
        <f t="array" ref="O152">IF(ISBLANK(E152),0,IFERROR(ROUND(INDEX(E$1:E151,MAX(IF(E$1:E151&lt;&gt;"",ROW(E$1:E151))))+C152-D152-E152,2),0))</f>
        <v>0</v>
      </c>
    </row>
    <row r="153" spans="1:15" x14ac:dyDescent="0.2">
      <c r="A153" s="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2" cm="1">
        <f t="array" ref="O153">IF(ISBLANK(E153),0,IFERROR(ROUND(INDEX(E$1:E152,MAX(IF(E$1:E152&lt;&gt;"",ROW(E$1:E152))))+C153-D153-E153,2),0))</f>
        <v>0</v>
      </c>
    </row>
    <row r="154" spans="1:15" x14ac:dyDescent="0.2">
      <c r="A154" s="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2" cm="1">
        <f t="array" ref="O154">IF(ISBLANK(E154),0,IFERROR(ROUND(INDEX(E$1:E153,MAX(IF(E$1:E153&lt;&gt;"",ROW(E$1:E153))))+C154-D154-E154,2),0))</f>
        <v>0</v>
      </c>
    </row>
    <row r="155" spans="1:15" x14ac:dyDescent="0.2">
      <c r="A155" s="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2" cm="1">
        <f t="array" ref="O155">IF(ISBLANK(E155),0,IFERROR(ROUND(INDEX(E$1:E154,MAX(IF(E$1:E154&lt;&gt;"",ROW(E$1:E154))))+C155-D155-E155,2),0))</f>
        <v>0</v>
      </c>
    </row>
    <row r="156" spans="1:15" x14ac:dyDescent="0.2">
      <c r="A156" s="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2" cm="1">
        <f t="array" ref="O156">IF(ISBLANK(E156),0,IFERROR(ROUND(INDEX(E$1:E155,MAX(IF(E$1:E155&lt;&gt;"",ROW(E$1:E155))))+C156-D156-E156,2),0))</f>
        <v>0</v>
      </c>
    </row>
    <row r="157" spans="1:15" x14ac:dyDescent="0.2">
      <c r="A157" s="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2" cm="1">
        <f t="array" ref="O157">IF(ISBLANK(E157),0,IFERROR(ROUND(INDEX(E$1:E156,MAX(IF(E$1:E156&lt;&gt;"",ROW(E$1:E156))))+C157-D157-E157,2),0))</f>
        <v>0</v>
      </c>
    </row>
    <row r="158" spans="1:15" x14ac:dyDescent="0.2">
      <c r="A158" s="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2" cm="1">
        <f t="array" ref="O158">IF(ISBLANK(E158),0,IFERROR(ROUND(INDEX(E$1:E157,MAX(IF(E$1:E157&lt;&gt;"",ROW(E$1:E157))))+C158-D158-E158,2),0))</f>
        <v>0</v>
      </c>
    </row>
    <row r="159" spans="1:15" x14ac:dyDescent="0.2">
      <c r="A159" s="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2" cm="1">
        <f t="array" ref="O159">IF(ISBLANK(E159),0,IFERROR(ROUND(INDEX(E$1:E158,MAX(IF(E$1:E158&lt;&gt;"",ROW(E$1:E158))))+C159-D159-E159,2),0))</f>
        <v>0</v>
      </c>
    </row>
    <row r="160" spans="1:15" x14ac:dyDescent="0.2">
      <c r="A160" s="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2" cm="1">
        <f t="array" ref="O160">IF(ISBLANK(E160),0,IFERROR(ROUND(INDEX(E$1:E159,MAX(IF(E$1:E159&lt;&gt;"",ROW(E$1:E159))))+C160-D160-E160,2),0))</f>
        <v>0</v>
      </c>
    </row>
    <row r="161" spans="1:15" x14ac:dyDescent="0.2">
      <c r="A161" s="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2" cm="1">
        <f t="array" ref="O161">IF(ISBLANK(E161),0,IFERROR(ROUND(INDEX(E$1:E160,MAX(IF(E$1:E160&lt;&gt;"",ROW(E$1:E160))))+C161-D161-E161,2),0))</f>
        <v>0</v>
      </c>
    </row>
    <row r="162" spans="1:15" x14ac:dyDescent="0.2">
      <c r="A162" s="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2" cm="1">
        <f t="array" ref="O162">IF(ISBLANK(E162),0,IFERROR(ROUND(INDEX(E$1:E161,MAX(IF(E$1:E161&lt;&gt;"",ROW(E$1:E161))))+C162-D162-E162,2),0))</f>
        <v>0</v>
      </c>
    </row>
    <row r="163" spans="1:15" x14ac:dyDescent="0.2">
      <c r="A163" s="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2" cm="1">
        <f t="array" ref="O163">IF(ISBLANK(E163),0,IFERROR(ROUND(INDEX(E$1:E162,MAX(IF(E$1:E162&lt;&gt;"",ROW(E$1:E162))))+C163-D163-E163,2),0))</f>
        <v>0</v>
      </c>
    </row>
    <row r="164" spans="1:15" x14ac:dyDescent="0.2">
      <c r="A164" s="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2" cm="1">
        <f t="array" ref="O164">IF(ISBLANK(E164),0,IFERROR(ROUND(INDEX(E$1:E163,MAX(IF(E$1:E163&lt;&gt;"",ROW(E$1:E163))))+C164-D164-E164,2),0))</f>
        <v>0</v>
      </c>
    </row>
    <row r="165" spans="1:15" x14ac:dyDescent="0.2">
      <c r="A165" s="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2" cm="1">
        <f t="array" ref="O165">IF(ISBLANK(E165),0,IFERROR(ROUND(INDEX(E$1:E164,MAX(IF(E$1:E164&lt;&gt;"",ROW(E$1:E164))))+C165-D165-E165,2),0))</f>
        <v>0</v>
      </c>
    </row>
    <row r="166" spans="1:15" x14ac:dyDescent="0.2">
      <c r="A166" s="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2" cm="1">
        <f t="array" ref="O166">IF(ISBLANK(E166),0,IFERROR(ROUND(INDEX(E$1:E165,MAX(IF(E$1:E165&lt;&gt;"",ROW(E$1:E165))))+C166-D166-E166,2),0))</f>
        <v>0</v>
      </c>
    </row>
    <row r="167" spans="1:15" x14ac:dyDescent="0.2">
      <c r="A167" s="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2" cm="1">
        <f t="array" ref="O167">IF(ISBLANK(E167),0,IFERROR(ROUND(INDEX(E$1:E166,MAX(IF(E$1:E166&lt;&gt;"",ROW(E$1:E166))))+C167-D167-E167,2),0))</f>
        <v>0</v>
      </c>
    </row>
    <row r="168" spans="1:15" x14ac:dyDescent="0.2">
      <c r="A168" s="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2" cm="1">
        <f t="array" ref="O168">IF(ISBLANK(E168),0,IFERROR(ROUND(INDEX(E$1:E167,MAX(IF(E$1:E167&lt;&gt;"",ROW(E$1:E167))))+C168-D168-E168,2),0))</f>
        <v>0</v>
      </c>
    </row>
    <row r="169" spans="1:15" x14ac:dyDescent="0.2">
      <c r="A169" s="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2" cm="1">
        <f t="array" ref="O169">IF(ISBLANK(E169),0,IFERROR(ROUND(INDEX(E$1:E168,MAX(IF(E$1:E168&lt;&gt;"",ROW(E$1:E168))))+C169-D169-E169,2),0))</f>
        <v>0</v>
      </c>
    </row>
    <row r="170" spans="1:15" x14ac:dyDescent="0.2">
      <c r="A170" s="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2" cm="1">
        <f t="array" ref="O170">IF(ISBLANK(E170),0,IFERROR(ROUND(INDEX(E$1:E169,MAX(IF(E$1:E169&lt;&gt;"",ROW(E$1:E169))))+C170-D170-E170,2),0))</f>
        <v>0</v>
      </c>
    </row>
    <row r="171" spans="1:15" x14ac:dyDescent="0.2">
      <c r="A171" s="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2" cm="1">
        <f t="array" ref="O171">IF(ISBLANK(E171),0,IFERROR(ROUND(INDEX(E$1:E170,MAX(IF(E$1:E170&lt;&gt;"",ROW(E$1:E170))))+C171-D171-E171,2),0))</f>
        <v>0</v>
      </c>
    </row>
    <row r="172" spans="1:15" x14ac:dyDescent="0.2">
      <c r="A172" s="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2" cm="1">
        <f t="array" ref="O172">IF(ISBLANK(E172),0,IFERROR(ROUND(INDEX(E$1:E171,MAX(IF(E$1:E171&lt;&gt;"",ROW(E$1:E171))))+C172-D172-E172,2),0))</f>
        <v>0</v>
      </c>
    </row>
    <row r="173" spans="1:15" x14ac:dyDescent="0.2">
      <c r="A173" s="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2" cm="1">
        <f t="array" ref="O173">IF(ISBLANK(E173),0,IFERROR(ROUND(INDEX(E$1:E172,MAX(IF(E$1:E172&lt;&gt;"",ROW(E$1:E172))))+C173-D173-E173,2),0))</f>
        <v>0</v>
      </c>
    </row>
    <row r="174" spans="1:15" x14ac:dyDescent="0.2">
      <c r="A174" s="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2" cm="1">
        <f t="array" ref="O174">IF(ISBLANK(E174),0,IFERROR(ROUND(INDEX(E$1:E173,MAX(IF(E$1:E173&lt;&gt;"",ROW(E$1:E173))))+C174-D174-E174,2),0))</f>
        <v>0</v>
      </c>
    </row>
    <row r="175" spans="1:15" x14ac:dyDescent="0.2">
      <c r="A175" s="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2" cm="1">
        <f t="array" ref="O175">IF(ISBLANK(E175),0,IFERROR(ROUND(INDEX(E$1:E174,MAX(IF(E$1:E174&lt;&gt;"",ROW(E$1:E174))))+C175-D175-E175,2),0))</f>
        <v>0</v>
      </c>
    </row>
    <row r="176" spans="1:15" x14ac:dyDescent="0.2">
      <c r="A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2" cm="1">
        <f t="array" ref="O176">IF(ISBLANK(E176),0,IFERROR(ROUND(INDEX(E$1:E175,MAX(IF(E$1:E175&lt;&gt;"",ROW(E$1:E175))))+C176-D176-E176,2),0))</f>
        <v>0</v>
      </c>
    </row>
    <row r="177" spans="1:15" x14ac:dyDescent="0.2">
      <c r="A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2" cm="1">
        <f t="array" ref="O177">IF(ISBLANK(E177),0,IFERROR(ROUND(INDEX(E$1:E176,MAX(IF(E$1:E176&lt;&gt;"",ROW(E$1:E176))))+C177-D177-E177,2),0))</f>
        <v>0</v>
      </c>
    </row>
    <row r="178" spans="1:15" x14ac:dyDescent="0.2">
      <c r="A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2" cm="1">
        <f t="array" ref="O178">IF(ISBLANK(E178),0,IFERROR(ROUND(INDEX(E$1:E177,MAX(IF(E$1:E177&lt;&gt;"",ROW(E$1:E177))))+C178-D178-E178,2),0))</f>
        <v>0</v>
      </c>
    </row>
    <row r="179" spans="1:15" x14ac:dyDescent="0.2">
      <c r="A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2" cm="1">
        <f t="array" ref="O179">IF(ISBLANK(E179),0,IFERROR(ROUND(INDEX(E$1:E178,MAX(IF(E$1:E178&lt;&gt;"",ROW(E$1:E178))))+C179-D179-E179,2),0))</f>
        <v>0</v>
      </c>
    </row>
    <row r="180" spans="1:15" x14ac:dyDescent="0.2">
      <c r="A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2" cm="1">
        <f t="array" ref="O180">IF(ISBLANK(E180),0,IFERROR(ROUND(INDEX(E$1:E179,MAX(IF(E$1:E179&lt;&gt;"",ROW(E$1:E179))))+C180-D180-E180,2),0))</f>
        <v>0</v>
      </c>
    </row>
    <row r="181" spans="1:15" x14ac:dyDescent="0.2">
      <c r="A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2" cm="1">
        <f t="array" ref="O181">IF(ISBLANK(E181),0,IFERROR(ROUND(INDEX(E$1:E180,MAX(IF(E$1:E180&lt;&gt;"",ROW(E$1:E180))))+C181-D181-E181,2),0))</f>
        <v>0</v>
      </c>
    </row>
    <row r="182" spans="1:15" x14ac:dyDescent="0.2">
      <c r="A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2" cm="1">
        <f t="array" ref="O182">IF(ISBLANK(E182),0,IFERROR(ROUND(INDEX(E$1:E181,MAX(IF(E$1:E181&lt;&gt;"",ROW(E$1:E181))))+C182-D182-E182,2),0))</f>
        <v>0</v>
      </c>
    </row>
    <row r="183" spans="1:15" x14ac:dyDescent="0.2">
      <c r="A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2" cm="1">
        <f t="array" ref="O183">IF(ISBLANK(E183),0,IFERROR(ROUND(INDEX(E$1:E182,MAX(IF(E$1:E182&lt;&gt;"",ROW(E$1:E182))))+C183-D183-E183,2),0))</f>
        <v>0</v>
      </c>
    </row>
    <row r="184" spans="1:15" x14ac:dyDescent="0.2">
      <c r="A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2" cm="1">
        <f t="array" ref="O184">IF(ISBLANK(E184),0,IFERROR(ROUND(INDEX(E$1:E183,MAX(IF(E$1:E183&lt;&gt;"",ROW(E$1:E183))))+C184-D184-E184,2),0))</f>
        <v>0</v>
      </c>
    </row>
    <row r="185" spans="1:15" x14ac:dyDescent="0.2">
      <c r="A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 cm="1">
        <f t="array" ref="O185">IF(ISBLANK(E185),0,IFERROR(ROUND(INDEX(E$1:E184,MAX(IF(E$1:E184&lt;&gt;"",ROW(E$1:E184))))+C185-D185-E185,2),0))</f>
        <v>0</v>
      </c>
    </row>
    <row r="186" spans="1:15" x14ac:dyDescent="0.2">
      <c r="A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 cm="1">
        <f t="array" ref="O186">IF(ISBLANK(E186),0,IFERROR(ROUND(INDEX(E$1:E185,MAX(IF(E$1:E185&lt;&gt;"",ROW(E$1:E185))))+C186-D186-E186,2),0))</f>
        <v>0</v>
      </c>
    </row>
    <row r="187" spans="1:15" x14ac:dyDescent="0.2">
      <c r="A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 cm="1">
        <f t="array" ref="O187">IF(ISBLANK(E187),0,IFERROR(ROUND(INDEX(E$1:E186,MAX(IF(E$1:E186&lt;&gt;"",ROW(E$1:E186))))+C187-D187-E187,2),0))</f>
        <v>0</v>
      </c>
    </row>
    <row r="188" spans="1:15" x14ac:dyDescent="0.2">
      <c r="A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 cm="1">
        <f t="array" ref="O188">IF(ISBLANK(E188),0,IFERROR(ROUND(INDEX(E$1:E187,MAX(IF(E$1:E187&lt;&gt;"",ROW(E$1:E187))))+C188-D188-E188,2),0))</f>
        <v>0</v>
      </c>
    </row>
    <row r="189" spans="1:15" x14ac:dyDescent="0.2">
      <c r="A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 cm="1">
        <f t="array" ref="O189">IF(ISBLANK(E189),0,IFERROR(ROUND(INDEX(E$1:E188,MAX(IF(E$1:E188&lt;&gt;"",ROW(E$1:E188))))+C189-D189-E189,2),0))</f>
        <v>0</v>
      </c>
    </row>
    <row r="190" spans="1:15" x14ac:dyDescent="0.2">
      <c r="A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 cm="1">
        <f t="array" ref="O190">IF(ISBLANK(E190),0,IFERROR(ROUND(INDEX(E$1:E189,MAX(IF(E$1:E189&lt;&gt;"",ROW(E$1:E189))))+C190-D190-E190,2),0))</f>
        <v>0</v>
      </c>
    </row>
    <row r="191" spans="1:15" x14ac:dyDescent="0.2">
      <c r="A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 cm="1">
        <f t="array" ref="O191">IF(ISBLANK(E191),0,IFERROR(ROUND(INDEX(E$1:E190,MAX(IF(E$1:E190&lt;&gt;"",ROW(E$1:E190))))+C191-D191-E191,2),0))</f>
        <v>0</v>
      </c>
    </row>
    <row r="192" spans="1:15" x14ac:dyDescent="0.2">
      <c r="A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 cm="1">
        <f t="array" ref="O192">IF(ISBLANK(E192),0,IFERROR(ROUND(INDEX(E$1:E191,MAX(IF(E$1:E191&lt;&gt;"",ROW(E$1:E191))))+C192-D192-E192,2),0))</f>
        <v>0</v>
      </c>
    </row>
    <row r="193" spans="1:15" x14ac:dyDescent="0.2">
      <c r="A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 cm="1">
        <f t="array" ref="O193">IF(ISBLANK(E193),0,IFERROR(ROUND(INDEX(E$1:E192,MAX(IF(E$1:E192&lt;&gt;"",ROW(E$1:E192))))+C193-D193-E193,2),0))</f>
        <v>0</v>
      </c>
    </row>
    <row r="194" spans="1:15" x14ac:dyDescent="0.2">
      <c r="A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 cm="1">
        <f t="array" ref="O194">IF(ISBLANK(E194),0,IFERROR(ROUND(INDEX(E$1:E193,MAX(IF(E$1:E193&lt;&gt;"",ROW(E$1:E193))))+C194-D194-E194,2),0))</f>
        <v>0</v>
      </c>
    </row>
    <row r="195" spans="1:15" x14ac:dyDescent="0.2">
      <c r="A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 cm="1">
        <f t="array" ref="O195">IF(ISBLANK(E195),0,IFERROR(ROUND(INDEX(E$1:E194,MAX(IF(E$1:E194&lt;&gt;"",ROW(E$1:E194))))+C195-D195-E195,2),0))</f>
        <v>0</v>
      </c>
    </row>
    <row r="196" spans="1:15" x14ac:dyDescent="0.2">
      <c r="A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 cm="1">
        <f t="array" ref="O196">IF(ISBLANK(E196),0,IFERROR(ROUND(INDEX(E$1:E195,MAX(IF(E$1:E195&lt;&gt;"",ROW(E$1:E195))))+C196-D196-E196,2),0))</f>
        <v>0</v>
      </c>
    </row>
    <row r="197" spans="1:15" x14ac:dyDescent="0.2">
      <c r="A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 cm="1">
        <f t="array" ref="O197">IF(ISBLANK(E197),0,IFERROR(ROUND(INDEX(E$1:E196,MAX(IF(E$1:E196&lt;&gt;"",ROW(E$1:E196))))+C197-D197-E197,2),0))</f>
        <v>0</v>
      </c>
    </row>
    <row r="198" spans="1:15" x14ac:dyDescent="0.2">
      <c r="A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 cm="1">
        <f t="array" ref="O198">IF(ISBLANK(E198),0,IFERROR(ROUND(INDEX(E$1:E197,MAX(IF(E$1:E197&lt;&gt;"",ROW(E$1:E197))))+C198-D198-E198,2),0))</f>
        <v>0</v>
      </c>
    </row>
    <row r="199" spans="1:15" x14ac:dyDescent="0.2">
      <c r="A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 cm="1">
        <f t="array" ref="O199">IF(ISBLANK(E199),0,IFERROR(ROUND(INDEX(E$1:E198,MAX(IF(E$1:E198&lt;&gt;"",ROW(E$1:E198))))+C199-D199-E199,2),0))</f>
        <v>0</v>
      </c>
    </row>
    <row r="200" spans="1:15" x14ac:dyDescent="0.2">
      <c r="A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 cm="1">
        <f t="array" ref="O200">IF(ISBLANK(E200),0,IFERROR(ROUND(INDEX(E$1:E199,MAX(IF(E$1:E199&lt;&gt;"",ROW(E$1:E199))))+C200-D200-E200,2),0))</f>
        <v>0</v>
      </c>
    </row>
    <row r="201" spans="1:15" x14ac:dyDescent="0.2">
      <c r="A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 cm="1">
        <f t="array" ref="O201">IF(ISBLANK(E201),0,IFERROR(ROUND(INDEX(E$1:E200,MAX(IF(E$1:E200&lt;&gt;"",ROW(E$1:E200))))+C201-D201-E201,2),0))</f>
        <v>0</v>
      </c>
    </row>
    <row r="202" spans="1:15" x14ac:dyDescent="0.2">
      <c r="A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 cm="1">
        <f t="array" ref="O202">IF(ISBLANK(E202),0,IFERROR(ROUND(INDEX(E$1:E201,MAX(IF(E$1:E201&lt;&gt;"",ROW(E$1:E201))))+C202-D202-E202,2),0))</f>
        <v>0</v>
      </c>
    </row>
    <row r="203" spans="1:15" x14ac:dyDescent="0.2">
      <c r="A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 cm="1">
        <f t="array" ref="O203">IF(ISBLANK(E203),0,IFERROR(ROUND(INDEX(E$1:E202,MAX(IF(E$1:E202&lt;&gt;"",ROW(E$1:E202))))+C203-D203-E203,2),0))</f>
        <v>0</v>
      </c>
    </row>
    <row r="204" spans="1:15" x14ac:dyDescent="0.2">
      <c r="A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 cm="1">
        <f t="array" ref="O204">IF(ISBLANK(E204),0,IFERROR(ROUND(INDEX(E$1:E203,MAX(IF(E$1:E203&lt;&gt;"",ROW(E$1:E203))))+C204-D204-E204,2),0))</f>
        <v>0</v>
      </c>
    </row>
    <row r="205" spans="1:15" x14ac:dyDescent="0.2">
      <c r="A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 cm="1">
        <f t="array" ref="O205">IF(ISBLANK(E205),0,IFERROR(ROUND(INDEX(E$1:E204,MAX(IF(E$1:E204&lt;&gt;"",ROW(E$1:E204))))+C205-D205-E205,2),0))</f>
        <v>0</v>
      </c>
    </row>
    <row r="206" spans="1:15" x14ac:dyDescent="0.2">
      <c r="A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 cm="1">
        <f t="array" ref="O206">IF(ISBLANK(E206),0,IFERROR(ROUND(INDEX(E$1:E205,MAX(IF(E$1:E205&lt;&gt;"",ROW(E$1:E205))))+C206-D206-E206,2),0))</f>
        <v>0</v>
      </c>
    </row>
    <row r="207" spans="1:15" x14ac:dyDescent="0.2">
      <c r="A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 cm="1">
        <f t="array" ref="O207">IF(ISBLANK(E207),0,IFERROR(ROUND(INDEX(E$1:E206,MAX(IF(E$1:E206&lt;&gt;"",ROW(E$1:E206))))+C207-D207-E207,2),0))</f>
        <v>0</v>
      </c>
    </row>
    <row r="208" spans="1:15" x14ac:dyDescent="0.2">
      <c r="A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 cm="1">
        <f t="array" ref="O208">IF(ISBLANK(E208),0,IFERROR(ROUND(INDEX(E$1:E207,MAX(IF(E$1:E207&lt;&gt;"",ROW(E$1:E207))))+C208-D208-E208,2),0))</f>
        <v>0</v>
      </c>
    </row>
    <row r="209" spans="1:15" x14ac:dyDescent="0.2">
      <c r="A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 cm="1">
        <f t="array" ref="O209">IF(ISBLANK(E209),0,IFERROR(ROUND(INDEX(E$1:E208,MAX(IF(E$1:E208&lt;&gt;"",ROW(E$1:E208))))+C209-D209-E209,2),0))</f>
        <v>0</v>
      </c>
    </row>
    <row r="210" spans="1:15" x14ac:dyDescent="0.2">
      <c r="A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 cm="1">
        <f t="array" ref="O210">IF(ISBLANK(E210),0,IFERROR(ROUND(INDEX(E$1:E209,MAX(IF(E$1:E209&lt;&gt;"",ROW(E$1:E209))))+C210-D210-E210,2),0))</f>
        <v>0</v>
      </c>
    </row>
    <row r="211" spans="1:15" x14ac:dyDescent="0.2">
      <c r="A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 cm="1">
        <f t="array" ref="O211">IF(ISBLANK(E211),0,IFERROR(ROUND(INDEX(E$1:E210,MAX(IF(E$1:E210&lt;&gt;"",ROW(E$1:E210))))+C211-D211-E211,2),0))</f>
        <v>0</v>
      </c>
    </row>
    <row r="212" spans="1:15" x14ac:dyDescent="0.2">
      <c r="A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 cm="1">
        <f t="array" ref="O212">IF(ISBLANK(E212),0,IFERROR(ROUND(INDEX(E$1:E211,MAX(IF(E$1:E211&lt;&gt;"",ROW(E$1:E211))))+C212-D212-E212,2),0))</f>
        <v>0</v>
      </c>
    </row>
    <row r="213" spans="1:15" x14ac:dyDescent="0.2">
      <c r="A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 cm="1">
        <f t="array" ref="O213">IF(ISBLANK(E213),0,IFERROR(ROUND(INDEX(E$1:E212,MAX(IF(E$1:E212&lt;&gt;"",ROW(E$1:E212))))+C213-D213-E213,2),0))</f>
        <v>0</v>
      </c>
    </row>
    <row r="214" spans="1:15" x14ac:dyDescent="0.2">
      <c r="A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 cm="1">
        <f t="array" ref="O214">IF(ISBLANK(E214),0,IFERROR(ROUND(INDEX(E$1:E213,MAX(IF(E$1:E213&lt;&gt;"",ROW(E$1:E213))))+C214-D214-E214,2),0))</f>
        <v>0</v>
      </c>
    </row>
    <row r="215" spans="1:15" x14ac:dyDescent="0.2">
      <c r="A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 cm="1">
        <f t="array" ref="O215">IF(ISBLANK(E215),0,IFERROR(ROUND(INDEX(E$1:E214,MAX(IF(E$1:E214&lt;&gt;"",ROW(E$1:E214))))+C215-D215-E215,2),0))</f>
        <v>0</v>
      </c>
    </row>
    <row r="216" spans="1:15" x14ac:dyDescent="0.2">
      <c r="A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 cm="1">
        <f t="array" ref="O216">IF(ISBLANK(E216),0,IFERROR(ROUND(INDEX(E$1:E215,MAX(IF(E$1:E215&lt;&gt;"",ROW(E$1:E215))))+C216-D216-E216,2),0))</f>
        <v>0</v>
      </c>
    </row>
    <row r="217" spans="1:15" x14ac:dyDescent="0.2">
      <c r="A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 cm="1">
        <f t="array" ref="O217">IF(ISBLANK(E217),0,IFERROR(ROUND(INDEX(E$1:E216,MAX(IF(E$1:E216&lt;&gt;"",ROW(E$1:E216))))+C217-D217-E217,2),0))</f>
        <v>0</v>
      </c>
    </row>
    <row r="218" spans="1:15" x14ac:dyDescent="0.2">
      <c r="A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 cm="1">
        <f t="array" ref="O218">IF(ISBLANK(E218),0,IFERROR(ROUND(INDEX(E$1:E217,MAX(IF(E$1:E217&lt;&gt;"",ROW(E$1:E217))))+C218-D218-E218,2),0))</f>
        <v>0</v>
      </c>
    </row>
    <row r="219" spans="1:15" x14ac:dyDescent="0.2">
      <c r="A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 cm="1">
        <f t="array" ref="O219">IF(ISBLANK(E219),0,IFERROR(ROUND(INDEX(E$1:E218,MAX(IF(E$1:E218&lt;&gt;"",ROW(E$1:E218))))+C219-D219-E219,2),0))</f>
        <v>0</v>
      </c>
    </row>
    <row r="220" spans="1:15" x14ac:dyDescent="0.2">
      <c r="A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 cm="1">
        <f t="array" ref="O220">IF(ISBLANK(E220),0,IFERROR(ROUND(INDEX(E$1:E219,MAX(IF(E$1:E219&lt;&gt;"",ROW(E$1:E219))))+C220-D220-E220,2),0))</f>
        <v>0</v>
      </c>
    </row>
    <row r="221" spans="1:15" x14ac:dyDescent="0.2">
      <c r="A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 cm="1">
        <f t="array" ref="O221">IF(ISBLANK(E221),0,IFERROR(ROUND(INDEX(E$1:E220,MAX(IF(E$1:E220&lt;&gt;"",ROW(E$1:E220))))+C221-D221-E221,2),0))</f>
        <v>0</v>
      </c>
    </row>
    <row r="222" spans="1:15" x14ac:dyDescent="0.2">
      <c r="A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 cm="1">
        <f t="array" ref="O222">IF(ISBLANK(E222),0,IFERROR(ROUND(INDEX(E$1:E221,MAX(IF(E$1:E221&lt;&gt;"",ROW(E$1:E221))))+C222-D222-E222,2),0))</f>
        <v>0</v>
      </c>
    </row>
    <row r="223" spans="1:15" x14ac:dyDescent="0.2">
      <c r="A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 cm="1">
        <f t="array" ref="O223">IF(ISBLANK(E223),0,IFERROR(ROUND(INDEX(E$1:E222,MAX(IF(E$1:E222&lt;&gt;"",ROW(E$1:E222))))+C223-D223-E223,2),0))</f>
        <v>0</v>
      </c>
    </row>
    <row r="224" spans="1:15" x14ac:dyDescent="0.2">
      <c r="A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 cm="1">
        <f t="array" ref="O224">IF(ISBLANK(E224),0,IFERROR(ROUND(INDEX(E$1:E223,MAX(IF(E$1:E223&lt;&gt;"",ROW(E$1:E223))))+C224-D224-E224,2),0))</f>
        <v>0</v>
      </c>
    </row>
    <row r="225" spans="1:15" x14ac:dyDescent="0.2">
      <c r="A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 cm="1">
        <f t="array" ref="O225">IF(ISBLANK(E225),0,IFERROR(ROUND(INDEX(E$1:E224,MAX(IF(E$1:E224&lt;&gt;"",ROW(E$1:E224))))+C225-D225-E225,2),0))</f>
        <v>0</v>
      </c>
    </row>
    <row r="226" spans="1:15" x14ac:dyDescent="0.2">
      <c r="A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 cm="1">
        <f t="array" ref="O226">IF(ISBLANK(E226),0,IFERROR(ROUND(INDEX(E$1:E225,MAX(IF(E$1:E225&lt;&gt;"",ROW(E$1:E225))))+C226-D226-E226,2),0))</f>
        <v>0</v>
      </c>
    </row>
    <row r="227" spans="1:15" x14ac:dyDescent="0.2">
      <c r="A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 cm="1">
        <f t="array" ref="O227">IF(ISBLANK(E227),0,IFERROR(ROUND(INDEX(E$1:E226,MAX(IF(E$1:E226&lt;&gt;"",ROW(E$1:E226))))+C227-D227-E227,2),0))</f>
        <v>0</v>
      </c>
    </row>
    <row r="228" spans="1:15" x14ac:dyDescent="0.2">
      <c r="A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 cm="1">
        <f t="array" ref="O228">IF(ISBLANK(E228),0,IFERROR(ROUND(INDEX(E$1:E227,MAX(IF(E$1:E227&lt;&gt;"",ROW(E$1:E227))))+C228-D228-E228,2),0))</f>
        <v>0</v>
      </c>
    </row>
    <row r="229" spans="1:15" x14ac:dyDescent="0.2">
      <c r="A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 cm="1">
        <f t="array" ref="O229">IF(ISBLANK(E229),0,IFERROR(ROUND(INDEX(E$1:E228,MAX(IF(E$1:E228&lt;&gt;"",ROW(E$1:E228))))+C229-D229-E229,2),0))</f>
        <v>0</v>
      </c>
    </row>
    <row r="230" spans="1:15" x14ac:dyDescent="0.2">
      <c r="A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 cm="1">
        <f t="array" ref="O230">IF(ISBLANK(E230),0,IFERROR(ROUND(INDEX(E$1:E229,MAX(IF(E$1:E229&lt;&gt;"",ROW(E$1:E229))))+C230-D230-E230,2),0))</f>
        <v>0</v>
      </c>
    </row>
    <row r="231" spans="1:15" x14ac:dyDescent="0.2">
      <c r="A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 cm="1">
        <f t="array" ref="O231">IF(ISBLANK(E231),0,IFERROR(ROUND(INDEX(E$1:E230,MAX(IF(E$1:E230&lt;&gt;"",ROW(E$1:E230))))+C231-D231-E231,2),0))</f>
        <v>0</v>
      </c>
    </row>
    <row r="232" spans="1:15" x14ac:dyDescent="0.2">
      <c r="A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 cm="1">
        <f t="array" ref="O232">IF(ISBLANK(E232),0,IFERROR(ROUND(INDEX(E$1:E231,MAX(IF(E$1:E231&lt;&gt;"",ROW(E$1:E231))))+C232-D232-E232,2),0))</f>
        <v>0</v>
      </c>
    </row>
    <row r="233" spans="1:15" x14ac:dyDescent="0.2">
      <c r="A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 cm="1">
        <f t="array" ref="O233">IF(ISBLANK(E233),0,IFERROR(ROUND(INDEX(E$1:E232,MAX(IF(E$1:E232&lt;&gt;"",ROW(E$1:E232))))+C233-D233-E233,2),0))</f>
        <v>0</v>
      </c>
    </row>
    <row r="234" spans="1:15" x14ac:dyDescent="0.2">
      <c r="A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 cm="1">
        <f t="array" ref="O234">IF(ISBLANK(E234),0,IFERROR(ROUND(INDEX(E$1:E233,MAX(IF(E$1:E233&lt;&gt;"",ROW(E$1:E233))))+C234-D234-E234,2),0))</f>
        <v>0</v>
      </c>
    </row>
    <row r="235" spans="1:15" x14ac:dyDescent="0.2">
      <c r="A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 cm="1">
        <f t="array" ref="O235">IF(ISBLANK(E235),0,IFERROR(ROUND(INDEX(E$1:E234,MAX(IF(E$1:E234&lt;&gt;"",ROW(E$1:E234))))+C235-D235-E235,2),0))</f>
        <v>0</v>
      </c>
    </row>
    <row r="236" spans="1:15" x14ac:dyDescent="0.2">
      <c r="A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 cm="1">
        <f t="array" ref="O236">IF(ISBLANK(E236),0,IFERROR(ROUND(INDEX(E$1:E235,MAX(IF(E$1:E235&lt;&gt;"",ROW(E$1:E235))))+C236-D236-E236,2),0))</f>
        <v>0</v>
      </c>
    </row>
    <row r="237" spans="1:15" x14ac:dyDescent="0.2">
      <c r="A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 cm="1">
        <f t="array" ref="O237">IF(ISBLANK(E237),0,IFERROR(ROUND(INDEX(E$1:E236,MAX(IF(E$1:E236&lt;&gt;"",ROW(E$1:E236))))+C237-D237-E237,2),0))</f>
        <v>0</v>
      </c>
    </row>
    <row r="238" spans="1:15" x14ac:dyDescent="0.2">
      <c r="A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 cm="1">
        <f t="array" ref="O238">IF(ISBLANK(E238),0,IFERROR(ROUND(INDEX(E$1:E237,MAX(IF(E$1:E237&lt;&gt;"",ROW(E$1:E237))))+C238-D238-E238,2),0))</f>
        <v>0</v>
      </c>
    </row>
    <row r="239" spans="1:15" x14ac:dyDescent="0.2">
      <c r="A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 cm="1">
        <f t="array" ref="O239">IF(ISBLANK(E239),0,IFERROR(ROUND(INDEX(E$1:E238,MAX(IF(E$1:E238&lt;&gt;"",ROW(E$1:E238))))+C239-D239-E239,2),0))</f>
        <v>0</v>
      </c>
    </row>
    <row r="240" spans="1:15" x14ac:dyDescent="0.2">
      <c r="A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 cm="1">
        <f t="array" ref="O240">IF(ISBLANK(E240),0,IFERROR(ROUND(INDEX(E$1:E239,MAX(IF(E$1:E239&lt;&gt;"",ROW(E$1:E239))))+C240-D240-E240,2),0))</f>
        <v>0</v>
      </c>
    </row>
    <row r="241" spans="1:15" x14ac:dyDescent="0.2">
      <c r="A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 cm="1">
        <f t="array" ref="O241">IF(ISBLANK(E241),0,IFERROR(ROUND(INDEX(E$1:E240,MAX(IF(E$1:E240&lt;&gt;"",ROW(E$1:E240))))+C241-D241-E241,2),0))</f>
        <v>0</v>
      </c>
    </row>
    <row r="242" spans="1:15" x14ac:dyDescent="0.2">
      <c r="A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 cm="1">
        <f t="array" ref="O242">IF(ISBLANK(E242),0,IFERROR(ROUND(INDEX(E$1:E241,MAX(IF(E$1:E241&lt;&gt;"",ROW(E$1:E241))))+C242-D242-E242,2),0))</f>
        <v>0</v>
      </c>
    </row>
    <row r="243" spans="1:15" x14ac:dyDescent="0.2">
      <c r="A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 cm="1">
        <f t="array" ref="O243">IF(ISBLANK(E243),0,IFERROR(ROUND(INDEX(E$1:E242,MAX(IF(E$1:E242&lt;&gt;"",ROW(E$1:E242))))+C243-D243-E243,2),0))</f>
        <v>0</v>
      </c>
    </row>
    <row r="244" spans="1:15" x14ac:dyDescent="0.2">
      <c r="A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 cm="1">
        <f t="array" ref="O244">IF(ISBLANK(E244),0,IFERROR(ROUND(INDEX(E$1:E243,MAX(IF(E$1:E243&lt;&gt;"",ROW(E$1:E243))))+C244-D244-E244,2),0))</f>
        <v>0</v>
      </c>
    </row>
    <row r="245" spans="1:15" x14ac:dyDescent="0.2">
      <c r="A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 cm="1">
        <f t="array" ref="O245">IF(ISBLANK(E245),0,IFERROR(ROUND(INDEX(E$1:E244,MAX(IF(E$1:E244&lt;&gt;"",ROW(E$1:E244))))+C245-D245-E245,2),0))</f>
        <v>0</v>
      </c>
    </row>
    <row r="246" spans="1:15" x14ac:dyDescent="0.2">
      <c r="A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 cm="1">
        <f t="array" ref="O246">IF(ISBLANK(E246),0,IFERROR(ROUND(INDEX(E$1:E245,MAX(IF(E$1:E245&lt;&gt;"",ROW(E$1:E245))))+C246-D246-E246,2),0))</f>
        <v>0</v>
      </c>
    </row>
    <row r="247" spans="1:15" x14ac:dyDescent="0.2">
      <c r="A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 cm="1">
        <f t="array" ref="O247">IF(ISBLANK(E247),0,IFERROR(ROUND(INDEX(E$1:E246,MAX(IF(E$1:E246&lt;&gt;"",ROW(E$1:E246))))+C247-D247-E247,2),0))</f>
        <v>0</v>
      </c>
    </row>
    <row r="248" spans="1:15" x14ac:dyDescent="0.2">
      <c r="A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 cm="1">
        <f t="array" ref="O248">IF(ISBLANK(E248),0,IFERROR(ROUND(INDEX(E$1:E247,MAX(IF(E$1:E247&lt;&gt;"",ROW(E$1:E247))))+C248-D248-E248,2),0))</f>
        <v>0</v>
      </c>
    </row>
    <row r="249" spans="1:15" x14ac:dyDescent="0.2">
      <c r="A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 cm="1">
        <f t="array" ref="O249">IF(ISBLANK(E249),0,IFERROR(ROUND(INDEX(E$1:E248,MAX(IF(E$1:E248&lt;&gt;"",ROW(E$1:E248))))+C249-D249-E249,2),0))</f>
        <v>0</v>
      </c>
    </row>
    <row r="250" spans="1:15" x14ac:dyDescent="0.2">
      <c r="A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 cm="1">
        <f t="array" ref="O250">IF(ISBLANK(E250),0,IFERROR(ROUND(INDEX(E$1:E249,MAX(IF(E$1:E249&lt;&gt;"",ROW(E$1:E249))))+C250-D250-E250,2),0))</f>
        <v>0</v>
      </c>
    </row>
    <row r="251" spans="1:15" x14ac:dyDescent="0.2">
      <c r="A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 cm="1">
        <f t="array" ref="O251">IF(ISBLANK(E251),0,IFERROR(ROUND(INDEX(E$1:E250,MAX(IF(E$1:E250&lt;&gt;"",ROW(E$1:E250))))+C251-D251-E251,2),0))</f>
        <v>0</v>
      </c>
    </row>
    <row r="252" spans="1:15" x14ac:dyDescent="0.2">
      <c r="A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 cm="1">
        <f t="array" ref="O252">IF(ISBLANK(E252),0,IFERROR(ROUND(INDEX(E$1:E251,MAX(IF(E$1:E251&lt;&gt;"",ROW(E$1:E251))))+C252-D252-E252,2),0))</f>
        <v>0</v>
      </c>
    </row>
    <row r="253" spans="1:15" x14ac:dyDescent="0.2">
      <c r="A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 cm="1">
        <f t="array" ref="O253">IF(ISBLANK(E253),0,IFERROR(ROUND(INDEX(E$1:E252,MAX(IF(E$1:E252&lt;&gt;"",ROW(E$1:E252))))+C253-D253-E253,2),0))</f>
        <v>0</v>
      </c>
    </row>
    <row r="254" spans="1:15" x14ac:dyDescent="0.2">
      <c r="A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 cm="1">
        <f t="array" ref="O254">IF(ISBLANK(E254),0,IFERROR(ROUND(INDEX(E$1:E253,MAX(IF(E$1:E253&lt;&gt;"",ROW(E$1:E253))))+C254-D254-E254,2),0))</f>
        <v>0</v>
      </c>
    </row>
    <row r="255" spans="1:15" x14ac:dyDescent="0.2">
      <c r="A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 cm="1">
        <f t="array" ref="O255">IF(ISBLANK(E255),0,IFERROR(ROUND(INDEX(E$1:E254,MAX(IF(E$1:E254&lt;&gt;"",ROW(E$1:E254))))+C255-D255-E255,2),0))</f>
        <v>0</v>
      </c>
    </row>
    <row r="256" spans="1:15" x14ac:dyDescent="0.2">
      <c r="A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 cm="1">
        <f t="array" ref="O256">IF(ISBLANK(E256),0,IFERROR(ROUND(INDEX(E$1:E255,MAX(IF(E$1:E255&lt;&gt;"",ROW(E$1:E255))))+C256-D256-E256,2),0))</f>
        <v>0</v>
      </c>
    </row>
    <row r="257" spans="1:15" x14ac:dyDescent="0.2">
      <c r="A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 cm="1">
        <f t="array" ref="O257">IF(ISBLANK(E257),0,IFERROR(ROUND(INDEX(E$1:E256,MAX(IF(E$1:E256&lt;&gt;"",ROW(E$1:E256))))+C257-D257-E257,2),0))</f>
        <v>0</v>
      </c>
    </row>
    <row r="258" spans="1:15" x14ac:dyDescent="0.2">
      <c r="A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 cm="1">
        <f t="array" ref="O258">IF(ISBLANK(E258),0,IFERROR(ROUND(INDEX(E$1:E257,MAX(IF(E$1:E257&lt;&gt;"",ROW(E$1:E257))))+C258-D258-E258,2),0))</f>
        <v>0</v>
      </c>
    </row>
    <row r="259" spans="1:15" x14ac:dyDescent="0.2">
      <c r="A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 cm="1">
        <f t="array" ref="O259">IF(ISBLANK(E259),0,IFERROR(ROUND(INDEX(E$1:E258,MAX(IF(E$1:E258&lt;&gt;"",ROW(E$1:E258))))+C259-D259-E259,2),0))</f>
        <v>0</v>
      </c>
    </row>
    <row r="260" spans="1:15" x14ac:dyDescent="0.2">
      <c r="A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 cm="1">
        <f t="array" ref="O260">IF(ISBLANK(E260),0,IFERROR(ROUND(INDEX(E$1:E259,MAX(IF(E$1:E259&lt;&gt;"",ROW(E$1:E259))))+C260-D260-E260,2),0))</f>
        <v>0</v>
      </c>
    </row>
    <row r="261" spans="1:15" x14ac:dyDescent="0.2">
      <c r="A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 cm="1">
        <f t="array" ref="O261">IF(ISBLANK(E261),0,IFERROR(ROUND(INDEX(E$1:E260,MAX(IF(E$1:E260&lt;&gt;"",ROW(E$1:E260))))+C261-D261-E261,2),0))</f>
        <v>0</v>
      </c>
    </row>
    <row r="262" spans="1:15" x14ac:dyDescent="0.2">
      <c r="A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 cm="1">
        <f t="array" ref="O262">IF(ISBLANK(E262),0,IFERROR(ROUND(INDEX(E$1:E261,MAX(IF(E$1:E261&lt;&gt;"",ROW(E$1:E261))))+C262-D262-E262,2),0))</f>
        <v>0</v>
      </c>
    </row>
    <row r="263" spans="1:15" x14ac:dyDescent="0.2">
      <c r="A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 cm="1">
        <f t="array" ref="O263">IF(ISBLANK(E263),0,IFERROR(ROUND(INDEX(E$1:E262,MAX(IF(E$1:E262&lt;&gt;"",ROW(E$1:E262))))+C263-D263-E263,2),0))</f>
        <v>0</v>
      </c>
    </row>
    <row r="264" spans="1:15" x14ac:dyDescent="0.2">
      <c r="A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 cm="1">
        <f t="array" ref="O264">IF(ISBLANK(E264),0,IFERROR(ROUND(INDEX(E$1:E263,MAX(IF(E$1:E263&lt;&gt;"",ROW(E$1:E263))))+C264-D264-E264,2),0))</f>
        <v>0</v>
      </c>
    </row>
    <row r="265" spans="1:15" x14ac:dyDescent="0.2">
      <c r="A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 cm="1">
        <f t="array" ref="O265">IF(ISBLANK(E265),0,IFERROR(ROUND(INDEX(E$1:E264,MAX(IF(E$1:E264&lt;&gt;"",ROW(E$1:E264))))+C265-D265-E265,2),0))</f>
        <v>0</v>
      </c>
    </row>
    <row r="266" spans="1:15" x14ac:dyDescent="0.2">
      <c r="A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 cm="1">
        <f t="array" ref="O266">IF(ISBLANK(E266),0,IFERROR(ROUND(INDEX(E$1:E265,MAX(IF(E$1:E265&lt;&gt;"",ROW(E$1:E265))))+C266-D266-E266,2),0))</f>
        <v>0</v>
      </c>
    </row>
    <row r="267" spans="1:15" x14ac:dyDescent="0.2">
      <c r="A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 cm="1">
        <f t="array" ref="O267">IF(ISBLANK(E267),0,IFERROR(ROUND(INDEX(E$1:E266,MAX(IF(E$1:E266&lt;&gt;"",ROW(E$1:E266))))+C267-D267-E267,2),0))</f>
        <v>0</v>
      </c>
    </row>
    <row r="268" spans="1:15" x14ac:dyDescent="0.2">
      <c r="A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 cm="1">
        <f t="array" ref="O268">IF(ISBLANK(E268),0,IFERROR(ROUND(INDEX(E$1:E267,MAX(IF(E$1:E267&lt;&gt;"",ROW(E$1:E267))))+C268-D268-E268,2),0))</f>
        <v>0</v>
      </c>
    </row>
    <row r="269" spans="1:15" x14ac:dyDescent="0.2">
      <c r="A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 cm="1">
        <f t="array" ref="O269">IF(ISBLANK(E269),0,IFERROR(ROUND(INDEX(E$1:E268,MAX(IF(E$1:E268&lt;&gt;"",ROW(E$1:E268))))+C269-D269-E269,2),0))</f>
        <v>0</v>
      </c>
    </row>
    <row r="270" spans="1:15" x14ac:dyDescent="0.2">
      <c r="A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 cm="1">
        <f t="array" ref="O270">IF(ISBLANK(E270),0,IFERROR(ROUND(INDEX(E$1:E269,MAX(IF(E$1:E269&lt;&gt;"",ROW(E$1:E269))))+C270-D270-E270,2),0))</f>
        <v>0</v>
      </c>
    </row>
    <row r="271" spans="1:15" x14ac:dyDescent="0.2">
      <c r="A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 cm="1">
        <f t="array" ref="O271">IF(ISBLANK(E271),0,IFERROR(ROUND(INDEX(E$1:E270,MAX(IF(E$1:E270&lt;&gt;"",ROW(E$1:E270))))+C271-D271-E271,2),0))</f>
        <v>0</v>
      </c>
    </row>
    <row r="272" spans="1:15" x14ac:dyDescent="0.2">
      <c r="A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 cm="1">
        <f t="array" ref="O272">IF(ISBLANK(E272),0,IFERROR(ROUND(INDEX(E$1:E271,MAX(IF(E$1:E271&lt;&gt;"",ROW(E$1:E271))))+C272-D272-E272,2),0))</f>
        <v>0</v>
      </c>
    </row>
    <row r="273" spans="1:15" x14ac:dyDescent="0.2">
      <c r="A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 cm="1">
        <f t="array" ref="O273">IF(ISBLANK(E273),0,IFERROR(ROUND(INDEX(E$1:E272,MAX(IF(E$1:E272&lt;&gt;"",ROW(E$1:E272))))+C273-D273-E273,2),0))</f>
        <v>0</v>
      </c>
    </row>
    <row r="274" spans="1:15" x14ac:dyDescent="0.2">
      <c r="A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 cm="1">
        <f t="array" ref="O274">IF(ISBLANK(E274),0,IFERROR(ROUND(INDEX(E$1:E273,MAX(IF(E$1:E273&lt;&gt;"",ROW(E$1:E273))))+C274-D274-E274,2),0))</f>
        <v>0</v>
      </c>
    </row>
    <row r="275" spans="1:15" x14ac:dyDescent="0.2">
      <c r="A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 cm="1">
        <f t="array" ref="O275">IF(ISBLANK(E275),0,IFERROR(ROUND(INDEX(E$1:E274,MAX(IF(E$1:E274&lt;&gt;"",ROW(E$1:E274))))+C275-D275-E275,2),0))</f>
        <v>0</v>
      </c>
    </row>
    <row r="276" spans="1:15" x14ac:dyDescent="0.2">
      <c r="A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 cm="1">
        <f t="array" ref="O276">IF(ISBLANK(E276),0,IFERROR(ROUND(INDEX(E$1:E275,MAX(IF(E$1:E275&lt;&gt;"",ROW(E$1:E275))))+C276-D276-E276,2),0))</f>
        <v>0</v>
      </c>
    </row>
    <row r="277" spans="1:15" x14ac:dyDescent="0.2">
      <c r="A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 cm="1">
        <f t="array" ref="O277">IF(ISBLANK(E277),0,IFERROR(ROUND(INDEX(E$1:E276,MAX(IF(E$1:E276&lt;&gt;"",ROW(E$1:E276))))+C277-D277-E277,2),0))</f>
        <v>0</v>
      </c>
    </row>
    <row r="278" spans="1:15" x14ac:dyDescent="0.2">
      <c r="A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 cm="1">
        <f t="array" ref="O278">IF(ISBLANK(E278),0,IFERROR(ROUND(INDEX(E$1:E277,MAX(IF(E$1:E277&lt;&gt;"",ROW(E$1:E277))))+C278-D278-E278,2),0))</f>
        <v>0</v>
      </c>
    </row>
    <row r="279" spans="1:15" x14ac:dyDescent="0.2">
      <c r="A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 cm="1">
        <f t="array" ref="O279">IF(ISBLANK(E279),0,IFERROR(ROUND(INDEX(E$1:E278,MAX(IF(E$1:E278&lt;&gt;"",ROW(E$1:E278))))+C279-D279-E279,2),0))</f>
        <v>0</v>
      </c>
    </row>
    <row r="280" spans="1:15" x14ac:dyDescent="0.2">
      <c r="A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 cm="1">
        <f t="array" ref="O280">IF(ISBLANK(E280),0,IFERROR(ROUND(INDEX(E$1:E279,MAX(IF(E$1:E279&lt;&gt;"",ROW(E$1:E279))))+C280-D280-E280,2),0))</f>
        <v>0</v>
      </c>
    </row>
    <row r="281" spans="1:15" x14ac:dyDescent="0.2">
      <c r="A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 cm="1">
        <f t="array" ref="O281">IF(ISBLANK(E281),0,IFERROR(ROUND(INDEX(E$1:E280,MAX(IF(E$1:E280&lt;&gt;"",ROW(E$1:E280))))+C281-D281-E281,2),0))</f>
        <v>0</v>
      </c>
    </row>
    <row r="282" spans="1:15" x14ac:dyDescent="0.2">
      <c r="A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 cm="1">
        <f t="array" ref="O282">IF(ISBLANK(E282),0,IFERROR(ROUND(INDEX(E$1:E281,MAX(IF(E$1:E281&lt;&gt;"",ROW(E$1:E281))))+C282-D282-E282,2),0))</f>
        <v>0</v>
      </c>
    </row>
    <row r="283" spans="1:15" x14ac:dyDescent="0.2">
      <c r="A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 cm="1">
        <f t="array" ref="O283">IF(ISBLANK(E283),0,IFERROR(ROUND(INDEX(E$1:E282,MAX(IF(E$1:E282&lt;&gt;"",ROW(E$1:E282))))+C283-D283-E283,2),0))</f>
        <v>0</v>
      </c>
    </row>
    <row r="284" spans="1:15" x14ac:dyDescent="0.2">
      <c r="A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 cm="1">
        <f t="array" ref="O284">IF(ISBLANK(E284),0,IFERROR(ROUND(INDEX(E$1:E283,MAX(IF(E$1:E283&lt;&gt;"",ROW(E$1:E283))))+C284-D284-E284,2),0))</f>
        <v>0</v>
      </c>
    </row>
    <row r="285" spans="1:15" x14ac:dyDescent="0.2">
      <c r="A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 cm="1">
        <f t="array" ref="O285">IF(ISBLANK(E285),0,IFERROR(ROUND(INDEX(E$1:E284,MAX(IF(E$1:E284&lt;&gt;"",ROW(E$1:E284))))+C285-D285-E285,2),0))</f>
        <v>0</v>
      </c>
    </row>
    <row r="286" spans="1:15" x14ac:dyDescent="0.2">
      <c r="A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 cm="1">
        <f t="array" ref="O286">IF(ISBLANK(E286),0,IFERROR(ROUND(INDEX(E$1:E285,MAX(IF(E$1:E285&lt;&gt;"",ROW(E$1:E285))))+C286-D286-E286,2),0))</f>
        <v>0</v>
      </c>
    </row>
    <row r="287" spans="1:15" x14ac:dyDescent="0.2">
      <c r="A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 cm="1">
        <f t="array" ref="O287">IF(ISBLANK(E287),0,IFERROR(ROUND(INDEX(E$1:E286,MAX(IF(E$1:E286&lt;&gt;"",ROW(E$1:E286))))+C287-D287-E287,2),0))</f>
        <v>0</v>
      </c>
    </row>
    <row r="288" spans="1:15" x14ac:dyDescent="0.2">
      <c r="A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 cm="1">
        <f t="array" ref="O288">IF(ISBLANK(E288),0,IFERROR(ROUND(INDEX(E$1:E287,MAX(IF(E$1:E287&lt;&gt;"",ROW(E$1:E287))))+C288-D288-E288,2),0))</f>
        <v>0</v>
      </c>
    </row>
    <row r="289" spans="1:15" x14ac:dyDescent="0.2">
      <c r="A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 cm="1">
        <f t="array" ref="O289">IF(ISBLANK(E289),0,IFERROR(ROUND(INDEX(E$1:E288,MAX(IF(E$1:E288&lt;&gt;"",ROW(E$1:E288))))+C289-D289-E289,2),0))</f>
        <v>0</v>
      </c>
    </row>
    <row r="290" spans="1:15" x14ac:dyDescent="0.2">
      <c r="A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 cm="1">
        <f t="array" ref="O290">IF(ISBLANK(E290),0,IFERROR(ROUND(INDEX(E$1:E289,MAX(IF(E$1:E289&lt;&gt;"",ROW(E$1:E289))))+C290-D290-E290,2),0))</f>
        <v>0</v>
      </c>
    </row>
    <row r="291" spans="1:15" x14ac:dyDescent="0.2">
      <c r="A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 cm="1">
        <f t="array" ref="O291">IF(ISBLANK(E291),0,IFERROR(ROUND(INDEX(E$1:E290,MAX(IF(E$1:E290&lt;&gt;"",ROW(E$1:E290))))+C291-D291-E291,2),0))</f>
        <v>0</v>
      </c>
    </row>
    <row r="292" spans="1:15" x14ac:dyDescent="0.2">
      <c r="A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 cm="1">
        <f t="array" ref="O292">IF(ISBLANK(E292),0,IFERROR(ROUND(INDEX(E$1:E291,MAX(IF(E$1:E291&lt;&gt;"",ROW(E$1:E291))))+C292-D292-E292,2),0))</f>
        <v>0</v>
      </c>
    </row>
    <row r="293" spans="1:15" x14ac:dyDescent="0.2">
      <c r="A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 cm="1">
        <f t="array" ref="O293">IF(ISBLANK(E293),0,IFERROR(ROUND(INDEX(E$1:E292,MAX(IF(E$1:E292&lt;&gt;"",ROW(E$1:E292))))+C293-D293-E293,2),0))</f>
        <v>0</v>
      </c>
    </row>
    <row r="294" spans="1:15" x14ac:dyDescent="0.2">
      <c r="A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 cm="1">
        <f t="array" ref="O294">IF(ISBLANK(E294),0,IFERROR(ROUND(INDEX(E$1:E293,MAX(IF(E$1:E293&lt;&gt;"",ROW(E$1:E293))))+C294-D294-E294,2),0))</f>
        <v>0</v>
      </c>
    </row>
    <row r="295" spans="1:15" x14ac:dyDescent="0.2">
      <c r="A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 cm="1">
        <f t="array" ref="O295">IF(ISBLANK(E295),0,IFERROR(ROUND(INDEX(E$1:E294,MAX(IF(E$1:E294&lt;&gt;"",ROW(E$1:E294))))+C295-D295-E295,2),0))</f>
        <v>0</v>
      </c>
    </row>
    <row r="296" spans="1:15" x14ac:dyDescent="0.2">
      <c r="A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 cm="1">
        <f t="array" ref="O296">IF(ISBLANK(E296),0,IFERROR(ROUND(INDEX(E$1:E295,MAX(IF(E$1:E295&lt;&gt;"",ROW(E$1:E295))))+C296-D296-E296,2),0))</f>
        <v>0</v>
      </c>
    </row>
    <row r="297" spans="1:15" x14ac:dyDescent="0.2">
      <c r="A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 cm="1">
        <f t="array" ref="O297">IF(ISBLANK(E297),0,IFERROR(ROUND(INDEX(E$1:E296,MAX(IF(E$1:E296&lt;&gt;"",ROW(E$1:E296))))+C297-D297-E297,2),0))</f>
        <v>0</v>
      </c>
    </row>
    <row r="298" spans="1:15" x14ac:dyDescent="0.2">
      <c r="A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 cm="1">
        <f t="array" ref="O298">IF(ISBLANK(E298),0,IFERROR(ROUND(INDEX(E$1:E297,MAX(IF(E$1:E297&lt;&gt;"",ROW(E$1:E297))))+C298-D298-E298,2),0))</f>
        <v>0</v>
      </c>
    </row>
    <row r="299" spans="1:15" x14ac:dyDescent="0.2">
      <c r="A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 cm="1">
        <f t="array" ref="O299">IF(ISBLANK(E299),0,IFERROR(ROUND(INDEX(E$1:E298,MAX(IF(E$1:E298&lt;&gt;"",ROW(E$1:E298))))+C299-D299-E299,2),0))</f>
        <v>0</v>
      </c>
    </row>
    <row r="300" spans="1:15" x14ac:dyDescent="0.2">
      <c r="A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 cm="1">
        <f t="array" ref="O300">IF(ISBLANK(E300),0,IFERROR(ROUND(INDEX(E$1:E299,MAX(IF(E$1:E299&lt;&gt;"",ROW(E$1:E299))))+C300-D300-E300,2),0))</f>
        <v>0</v>
      </c>
    </row>
    <row r="301" spans="1:15" x14ac:dyDescent="0.2">
      <c r="A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 cm="1">
        <f t="array" ref="O301">IF(ISBLANK(E301),0,IFERROR(ROUND(INDEX(E$1:E300,MAX(IF(E$1:E300&lt;&gt;"",ROW(E$1:E300))))+C301-D301-E301,2),0))</f>
        <v>0</v>
      </c>
    </row>
    <row r="302" spans="1:15" x14ac:dyDescent="0.2">
      <c r="A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 cm="1">
        <f t="array" ref="O302">IF(ISBLANK(E302),0,IFERROR(ROUND(INDEX(E$1:E301,MAX(IF(E$1:E301&lt;&gt;"",ROW(E$1:E301))))+C302-D302-E302,2),0))</f>
        <v>0</v>
      </c>
    </row>
    <row r="303" spans="1:15" x14ac:dyDescent="0.2">
      <c r="A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 cm="1">
        <f t="array" ref="O303">IF(ISBLANK(E303),0,IFERROR(ROUND(INDEX(E$1:E302,MAX(IF(E$1:E302&lt;&gt;"",ROW(E$1:E302))))+C303-D303-E303,2),0))</f>
        <v>0</v>
      </c>
    </row>
    <row r="304" spans="1:15" x14ac:dyDescent="0.2">
      <c r="A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 cm="1">
        <f t="array" ref="O304">IF(ISBLANK(E304),0,IFERROR(ROUND(INDEX(E$1:E303,MAX(IF(E$1:E303&lt;&gt;"",ROW(E$1:E303))))+C304-D304-E304,2),0))</f>
        <v>0</v>
      </c>
    </row>
    <row r="305" spans="1:15" x14ac:dyDescent="0.2">
      <c r="A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 cm="1">
        <f t="array" ref="O305">IF(ISBLANK(E305),0,IFERROR(ROUND(INDEX(E$1:E304,MAX(IF(E$1:E304&lt;&gt;"",ROW(E$1:E304))))+C305-D305-E305,2),0))</f>
        <v>0</v>
      </c>
    </row>
    <row r="306" spans="1:15" x14ac:dyDescent="0.2">
      <c r="A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 cm="1">
        <f t="array" ref="O306">IF(ISBLANK(E306),0,IFERROR(ROUND(INDEX(E$1:E305,MAX(IF(E$1:E305&lt;&gt;"",ROW(E$1:E305))))+C306-D306-E306,2),0))</f>
        <v>0</v>
      </c>
    </row>
    <row r="307" spans="1:15" x14ac:dyDescent="0.2">
      <c r="A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 cm="1">
        <f t="array" ref="O307">IF(ISBLANK(E307),0,IFERROR(ROUND(INDEX(E$1:E306,MAX(IF(E$1:E306&lt;&gt;"",ROW(E$1:E306))))+C307-D307-E307,2),0))</f>
        <v>0</v>
      </c>
    </row>
    <row r="308" spans="1:15" x14ac:dyDescent="0.2">
      <c r="A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 cm="1">
        <f t="array" ref="O308">IF(ISBLANK(E308),0,IFERROR(ROUND(INDEX(E$1:E307,MAX(IF(E$1:E307&lt;&gt;"",ROW(E$1:E307))))+C308-D308-E308,2),0))</f>
        <v>0</v>
      </c>
    </row>
    <row r="309" spans="1:15" x14ac:dyDescent="0.2">
      <c r="A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 cm="1">
        <f t="array" ref="O309">IF(ISBLANK(E309),0,IFERROR(ROUND(INDEX(E$1:E308,MAX(IF(E$1:E308&lt;&gt;"",ROW(E$1:E308))))+C309-D309-E309,2),0))</f>
        <v>0</v>
      </c>
    </row>
    <row r="310" spans="1:15" x14ac:dyDescent="0.2">
      <c r="A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 cm="1">
        <f t="array" ref="O310">IF(ISBLANK(E310),0,IFERROR(ROUND(INDEX(E$1:E309,MAX(IF(E$1:E309&lt;&gt;"",ROW(E$1:E309))))+C310-D310-E310,2),0))</f>
        <v>0</v>
      </c>
    </row>
    <row r="311" spans="1:15" x14ac:dyDescent="0.2">
      <c r="A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 cm="1">
        <f t="array" ref="O311">IF(ISBLANK(E311),0,IFERROR(ROUND(INDEX(E$1:E310,MAX(IF(E$1:E310&lt;&gt;"",ROW(E$1:E310))))+C311-D311-E311,2),0))</f>
        <v>0</v>
      </c>
    </row>
    <row r="312" spans="1:15" x14ac:dyDescent="0.2">
      <c r="A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 cm="1">
        <f t="array" ref="O312">IF(ISBLANK(E312),0,IFERROR(ROUND(INDEX(E$1:E311,MAX(IF(E$1:E311&lt;&gt;"",ROW(E$1:E311))))+C312-D312-E312,2),0))</f>
        <v>0</v>
      </c>
    </row>
    <row r="313" spans="1:15" x14ac:dyDescent="0.2">
      <c r="A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 cm="1">
        <f t="array" ref="O313">IF(ISBLANK(E313),0,IFERROR(ROUND(INDEX(E$1:E312,MAX(IF(E$1:E312&lt;&gt;"",ROW(E$1:E312))))+C313-D313-E313,2),0))</f>
        <v>0</v>
      </c>
    </row>
    <row r="314" spans="1:15" x14ac:dyDescent="0.2">
      <c r="A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 cm="1">
        <f t="array" ref="O314">IF(ISBLANK(E314),0,IFERROR(ROUND(INDEX(E$1:E313,MAX(IF(E$1:E313&lt;&gt;"",ROW(E$1:E313))))+C314-D314-E314,2),0))</f>
        <v>0</v>
      </c>
    </row>
    <row r="315" spans="1:15" x14ac:dyDescent="0.2">
      <c r="A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 cm="1">
        <f t="array" ref="O315">IF(ISBLANK(E315),0,IFERROR(ROUND(INDEX(E$1:E314,MAX(IF(E$1:E314&lt;&gt;"",ROW(E$1:E314))))+C315-D315-E315,2),0))</f>
        <v>0</v>
      </c>
    </row>
    <row r="316" spans="1:15" x14ac:dyDescent="0.2">
      <c r="A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 cm="1">
        <f t="array" ref="O316">IF(ISBLANK(E316),0,IFERROR(ROUND(INDEX(E$1:E315,MAX(IF(E$1:E315&lt;&gt;"",ROW(E$1:E315))))+C316-D316-E316,2),0))</f>
        <v>0</v>
      </c>
    </row>
    <row r="317" spans="1:15" x14ac:dyDescent="0.2">
      <c r="A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 cm="1">
        <f t="array" ref="O317">IF(ISBLANK(E317),0,IFERROR(ROUND(INDEX(E$1:E316,MAX(IF(E$1:E316&lt;&gt;"",ROW(E$1:E316))))+C317-D317-E317,2),0))</f>
        <v>0</v>
      </c>
    </row>
    <row r="318" spans="1:15" x14ac:dyDescent="0.2">
      <c r="A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 cm="1">
        <f t="array" ref="O318">IF(ISBLANK(E318),0,IFERROR(ROUND(INDEX(E$1:E317,MAX(IF(E$1:E317&lt;&gt;"",ROW(E$1:E317))))+C318-D318-E318,2),0))</f>
        <v>0</v>
      </c>
    </row>
    <row r="319" spans="1:15" x14ac:dyDescent="0.2">
      <c r="A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 cm="1">
        <f t="array" ref="O319">IF(ISBLANK(E319),0,IFERROR(ROUND(INDEX(E$1:E318,MAX(IF(E$1:E318&lt;&gt;"",ROW(E$1:E318))))+C319-D319-E319,2),0))</f>
        <v>0</v>
      </c>
    </row>
    <row r="320" spans="1:15" x14ac:dyDescent="0.2">
      <c r="A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 cm="1">
        <f t="array" ref="O320">IF(ISBLANK(E320),0,IFERROR(ROUND(INDEX(E$1:E319,MAX(IF(E$1:E319&lt;&gt;"",ROW(E$1:E319))))+C320-D320-E320,2),0))</f>
        <v>0</v>
      </c>
    </row>
    <row r="321" spans="1:15" x14ac:dyDescent="0.2">
      <c r="A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 cm="1">
        <f t="array" ref="O321">IF(ISBLANK(E321),0,IFERROR(ROUND(INDEX(E$1:E320,MAX(IF(E$1:E320&lt;&gt;"",ROW(E$1:E320))))+C321-D321-E321,2),0))</f>
        <v>0</v>
      </c>
    </row>
    <row r="322" spans="1:15" x14ac:dyDescent="0.2">
      <c r="A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 cm="1">
        <f t="array" ref="O322">IF(ISBLANK(E322),0,IFERROR(ROUND(INDEX(E$1:E321,MAX(IF(E$1:E321&lt;&gt;"",ROW(E$1:E321))))+C322-D322-E322,2),0))</f>
        <v>0</v>
      </c>
    </row>
    <row r="323" spans="1:15" x14ac:dyDescent="0.2">
      <c r="A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 cm="1">
        <f t="array" ref="O323">IF(ISBLANK(E323),0,IFERROR(ROUND(INDEX(E$1:E322,MAX(IF(E$1:E322&lt;&gt;"",ROW(E$1:E322))))+C323-D323-E323,2),0))</f>
        <v>0</v>
      </c>
    </row>
    <row r="324" spans="1:15" x14ac:dyDescent="0.2">
      <c r="A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 cm="1">
        <f t="array" ref="O324">IF(ISBLANK(E324),0,IFERROR(ROUND(INDEX(E$1:E323,MAX(IF(E$1:E323&lt;&gt;"",ROW(E$1:E323))))+C324-D324-E324,2),0))</f>
        <v>0</v>
      </c>
    </row>
    <row r="325" spans="1:15" x14ac:dyDescent="0.2">
      <c r="A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 cm="1">
        <f t="array" ref="O325">IF(ISBLANK(E325),0,IFERROR(ROUND(INDEX(E$1:E324,MAX(IF(E$1:E324&lt;&gt;"",ROW(E$1:E324))))+C325-D325-E325,2),0))</f>
        <v>0</v>
      </c>
    </row>
    <row r="326" spans="1:15" x14ac:dyDescent="0.2">
      <c r="A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 cm="1">
        <f t="array" ref="O326">IF(ISBLANK(E326),0,IFERROR(ROUND(INDEX(E$1:E325,MAX(IF(E$1:E325&lt;&gt;"",ROW(E$1:E325))))+C326-D326-E326,2),0))</f>
        <v>0</v>
      </c>
    </row>
    <row r="327" spans="1:15" x14ac:dyDescent="0.2">
      <c r="A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 cm="1">
        <f t="array" ref="O327">IF(ISBLANK(E327),0,IFERROR(ROUND(INDEX(E$1:E326,MAX(IF(E$1:E326&lt;&gt;"",ROW(E$1:E326))))+C327-D327-E327,2),0))</f>
        <v>0</v>
      </c>
    </row>
    <row r="328" spans="1:15" x14ac:dyDescent="0.2">
      <c r="A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 cm="1">
        <f t="array" ref="O328">IF(ISBLANK(E328),0,IFERROR(ROUND(INDEX(E$1:E327,MAX(IF(E$1:E327&lt;&gt;"",ROW(E$1:E327))))+C328-D328-E328,2),0))</f>
        <v>0</v>
      </c>
    </row>
    <row r="329" spans="1:15" x14ac:dyDescent="0.2">
      <c r="A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 cm="1">
        <f t="array" ref="O329">IF(ISBLANK(E329),0,IFERROR(ROUND(INDEX(E$1:E328,MAX(IF(E$1:E328&lt;&gt;"",ROW(E$1:E328))))+C329-D329-E329,2),0))</f>
        <v>0</v>
      </c>
    </row>
    <row r="330" spans="1:15" x14ac:dyDescent="0.2">
      <c r="A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 cm="1">
        <f t="array" ref="O330">IF(ISBLANK(E330),0,IFERROR(ROUND(INDEX(E$1:E329,MAX(IF(E$1:E329&lt;&gt;"",ROW(E$1:E329))))+C330-D330-E330,2),0))</f>
        <v>0</v>
      </c>
    </row>
    <row r="331" spans="1:15" x14ac:dyDescent="0.2">
      <c r="A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 cm="1">
        <f t="array" ref="O331">IF(ISBLANK(E331),0,IFERROR(ROUND(INDEX(E$1:E330,MAX(IF(E$1:E330&lt;&gt;"",ROW(E$1:E330))))+C331-D331-E331,2),0))</f>
        <v>0</v>
      </c>
    </row>
    <row r="332" spans="1:15" x14ac:dyDescent="0.2">
      <c r="A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 cm="1">
        <f t="array" ref="O332">IF(ISBLANK(E332),0,IFERROR(ROUND(INDEX(E$1:E331,MAX(IF(E$1:E331&lt;&gt;"",ROW(E$1:E331))))+C332-D332-E332,2),0))</f>
        <v>0</v>
      </c>
    </row>
    <row r="333" spans="1:15" x14ac:dyDescent="0.2">
      <c r="A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 cm="1">
        <f t="array" ref="O333">IF(ISBLANK(E333),0,IFERROR(ROUND(INDEX(E$1:E332,MAX(IF(E$1:E332&lt;&gt;"",ROW(E$1:E332))))+C333-D333-E333,2),0))</f>
        <v>0</v>
      </c>
    </row>
    <row r="334" spans="1:15" x14ac:dyDescent="0.2">
      <c r="A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 cm="1">
        <f t="array" ref="O334">IF(ISBLANK(E334),0,IFERROR(ROUND(INDEX(E$1:E333,MAX(IF(E$1:E333&lt;&gt;"",ROW(E$1:E333))))+C334-D334-E334,2),0))</f>
        <v>0</v>
      </c>
    </row>
    <row r="335" spans="1:15" x14ac:dyDescent="0.2">
      <c r="A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 cm="1">
        <f t="array" ref="O335">IF(ISBLANK(E335),0,IFERROR(ROUND(INDEX(E$1:E334,MAX(IF(E$1:E334&lt;&gt;"",ROW(E$1:E334))))+C335-D335-E335,2),0))</f>
        <v>0</v>
      </c>
    </row>
    <row r="336" spans="1:15" x14ac:dyDescent="0.2">
      <c r="A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 cm="1">
        <f t="array" ref="O336">IF(ISBLANK(E336),0,IFERROR(ROUND(INDEX(E$1:E335,MAX(IF(E$1:E335&lt;&gt;"",ROW(E$1:E335))))+C336-D336-E336,2),0))</f>
        <v>0</v>
      </c>
    </row>
    <row r="337" spans="1:15" x14ac:dyDescent="0.2">
      <c r="A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 cm="1">
        <f t="array" ref="O337">IF(ISBLANK(E337),0,IFERROR(ROUND(INDEX(E$1:E336,MAX(IF(E$1:E336&lt;&gt;"",ROW(E$1:E336))))+C337-D337-E337,2),0))</f>
        <v>0</v>
      </c>
    </row>
    <row r="338" spans="1:15" x14ac:dyDescent="0.2">
      <c r="A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 cm="1">
        <f t="array" ref="O338">IF(ISBLANK(E338),0,IFERROR(ROUND(INDEX(E$1:E337,MAX(IF(E$1:E337&lt;&gt;"",ROW(E$1:E337))))+C338-D338-E338,2),0))</f>
        <v>0</v>
      </c>
    </row>
    <row r="339" spans="1:15" x14ac:dyDescent="0.2">
      <c r="A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 cm="1">
        <f t="array" ref="O339">IF(ISBLANK(E339),0,IFERROR(ROUND(INDEX(E$1:E338,MAX(IF(E$1:E338&lt;&gt;"",ROW(E$1:E338))))+C339-D339-E339,2),0))</f>
        <v>0</v>
      </c>
    </row>
    <row r="340" spans="1:15" x14ac:dyDescent="0.2">
      <c r="A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 cm="1">
        <f t="array" ref="O340">IF(ISBLANK(E340),0,IFERROR(ROUND(INDEX(E$1:E339,MAX(IF(E$1:E339&lt;&gt;"",ROW(E$1:E339))))+C340-D340-E340,2),0))</f>
        <v>0</v>
      </c>
    </row>
    <row r="341" spans="1:15" x14ac:dyDescent="0.2">
      <c r="A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 cm="1">
        <f t="array" ref="O341">IF(ISBLANK(E341),0,IFERROR(ROUND(INDEX(E$1:E340,MAX(IF(E$1:E340&lt;&gt;"",ROW(E$1:E340))))+C341-D341-E341,2),0))</f>
        <v>0</v>
      </c>
    </row>
    <row r="342" spans="1:15" x14ac:dyDescent="0.2">
      <c r="A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 cm="1">
        <f t="array" ref="O342">IF(ISBLANK(E342),0,IFERROR(ROUND(INDEX(E$1:E341,MAX(IF(E$1:E341&lt;&gt;"",ROW(E$1:E341))))+C342-D342-E342,2),0))</f>
        <v>0</v>
      </c>
    </row>
    <row r="343" spans="1:15" x14ac:dyDescent="0.2">
      <c r="A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 cm="1">
        <f t="array" ref="O343">IF(ISBLANK(E343),0,IFERROR(ROUND(INDEX(E$1:E342,MAX(IF(E$1:E342&lt;&gt;"",ROW(E$1:E342))))+C343-D343-E343,2),0))</f>
        <v>0</v>
      </c>
    </row>
    <row r="344" spans="1:15" x14ac:dyDescent="0.2">
      <c r="A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 cm="1">
        <f t="array" ref="O344">IF(ISBLANK(E344),0,IFERROR(ROUND(INDEX(E$1:E343,MAX(IF(E$1:E343&lt;&gt;"",ROW(E$1:E343))))+C344-D344-E344,2),0))</f>
        <v>0</v>
      </c>
    </row>
    <row r="345" spans="1:15" x14ac:dyDescent="0.2">
      <c r="A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 cm="1">
        <f t="array" ref="O345">IF(ISBLANK(E345),0,IFERROR(ROUND(INDEX(E$1:E344,MAX(IF(E$1:E344&lt;&gt;"",ROW(E$1:E344))))+C345-D345-E345,2),0))</f>
        <v>0</v>
      </c>
    </row>
    <row r="346" spans="1:15" x14ac:dyDescent="0.2">
      <c r="A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 cm="1">
        <f t="array" ref="O346">IF(ISBLANK(E346),0,IFERROR(ROUND(INDEX(E$1:E345,MAX(IF(E$1:E345&lt;&gt;"",ROW(E$1:E345))))+C346-D346-E346,2),0))</f>
        <v>0</v>
      </c>
    </row>
    <row r="347" spans="1:15" x14ac:dyDescent="0.2">
      <c r="A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 cm="1">
        <f t="array" ref="O347">IF(ISBLANK(E347),0,IFERROR(ROUND(INDEX(E$1:E346,MAX(IF(E$1:E346&lt;&gt;"",ROW(E$1:E346))))+C347-D347-E347,2),0))</f>
        <v>0</v>
      </c>
    </row>
    <row r="348" spans="1:15" x14ac:dyDescent="0.2">
      <c r="A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 cm="1">
        <f t="array" ref="O348">IF(ISBLANK(E348),0,IFERROR(ROUND(INDEX(E$1:E347,MAX(IF(E$1:E347&lt;&gt;"",ROW(E$1:E347))))+C348-D348-E348,2),0))</f>
        <v>0</v>
      </c>
    </row>
    <row r="349" spans="1:15" x14ac:dyDescent="0.2">
      <c r="A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 cm="1">
        <f t="array" ref="O349">IF(ISBLANK(E349),0,IFERROR(ROUND(INDEX(E$1:E348,MAX(IF(E$1:E348&lt;&gt;"",ROW(E$1:E348))))+C349-D349-E349,2),0))</f>
        <v>0</v>
      </c>
    </row>
    <row r="350" spans="1:15" x14ac:dyDescent="0.2">
      <c r="A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 cm="1">
        <f t="array" ref="O350">IF(ISBLANK(E350),0,IFERROR(ROUND(INDEX(E$1:E349,MAX(IF(E$1:E349&lt;&gt;"",ROW(E$1:E349))))+C350-D350-E350,2),0))</f>
        <v>0</v>
      </c>
    </row>
    <row r="351" spans="1:15" x14ac:dyDescent="0.2">
      <c r="A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 cm="1">
        <f t="array" ref="O351">IF(ISBLANK(E351),0,IFERROR(ROUND(INDEX(E$1:E350,MAX(IF(E$1:E350&lt;&gt;"",ROW(E$1:E350))))+C351-D351-E351,2),0))</f>
        <v>0</v>
      </c>
    </row>
    <row r="352" spans="1:15" x14ac:dyDescent="0.2">
      <c r="A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 cm="1">
        <f t="array" ref="O352">IF(ISBLANK(E352),0,IFERROR(ROUND(INDEX(E$1:E351,MAX(IF(E$1:E351&lt;&gt;"",ROW(E$1:E351))))+C352-D352-E352,2),0))</f>
        <v>0</v>
      </c>
    </row>
    <row r="353" spans="1:15" x14ac:dyDescent="0.2">
      <c r="A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 cm="1">
        <f t="array" ref="O353">IF(ISBLANK(E353),0,IFERROR(ROUND(INDEX(E$1:E352,MAX(IF(E$1:E352&lt;&gt;"",ROW(E$1:E352))))+C353-D353-E353,2),0))</f>
        <v>0</v>
      </c>
    </row>
    <row r="354" spans="1:15" x14ac:dyDescent="0.2">
      <c r="A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 cm="1">
        <f t="array" ref="O354">IF(ISBLANK(E354),0,IFERROR(ROUND(INDEX(E$1:E353,MAX(IF(E$1:E353&lt;&gt;"",ROW(E$1:E353))))+C354-D354-E354,2),0))</f>
        <v>0</v>
      </c>
    </row>
    <row r="355" spans="1:15" x14ac:dyDescent="0.2">
      <c r="A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 cm="1">
        <f t="array" ref="O355">IF(ISBLANK(E355),0,IFERROR(ROUND(INDEX(E$1:E354,MAX(IF(E$1:E354&lt;&gt;"",ROW(E$1:E354))))+C355-D355-E355,2),0))</f>
        <v>0</v>
      </c>
    </row>
    <row r="356" spans="1:15" x14ac:dyDescent="0.2">
      <c r="A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 cm="1">
        <f t="array" ref="O356">IF(ISBLANK(E356),0,IFERROR(ROUND(INDEX(E$1:E355,MAX(IF(E$1:E355&lt;&gt;"",ROW(E$1:E355))))+C356-D356-E356,2),0))</f>
        <v>0</v>
      </c>
    </row>
    <row r="357" spans="1:15" x14ac:dyDescent="0.2">
      <c r="A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 cm="1">
        <f t="array" ref="O357">IF(ISBLANK(E357),0,IFERROR(ROUND(INDEX(E$1:E356,MAX(IF(E$1:E356&lt;&gt;"",ROW(E$1:E356))))+C357-D357-E357,2),0))</f>
        <v>0</v>
      </c>
    </row>
    <row r="358" spans="1:15" x14ac:dyDescent="0.2">
      <c r="A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 cm="1">
        <f t="array" ref="O358">IF(ISBLANK(E358),0,IFERROR(ROUND(INDEX(E$1:E357,MAX(IF(E$1:E357&lt;&gt;"",ROW(E$1:E357))))+C358-D358-E358,2),0))</f>
        <v>0</v>
      </c>
    </row>
    <row r="359" spans="1:15" x14ac:dyDescent="0.2">
      <c r="A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 cm="1">
        <f t="array" ref="O359">IF(ISBLANK(E359),0,IFERROR(ROUND(INDEX(E$1:E358,MAX(IF(E$1:E358&lt;&gt;"",ROW(E$1:E358))))+C359-D359-E359,2),0))</f>
        <v>0</v>
      </c>
    </row>
    <row r="360" spans="1:15" x14ac:dyDescent="0.2">
      <c r="A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 cm="1">
        <f t="array" ref="O360">IF(ISBLANK(E360),0,IFERROR(ROUND(INDEX(E$1:E359,MAX(IF(E$1:E359&lt;&gt;"",ROW(E$1:E359))))+C360-D360-E360,2),0))</f>
        <v>0</v>
      </c>
    </row>
    <row r="361" spans="1:15" x14ac:dyDescent="0.2">
      <c r="A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 cm="1">
        <f t="array" ref="O361">IF(ISBLANK(E361),0,IFERROR(ROUND(INDEX(E$1:E360,MAX(IF(E$1:E360&lt;&gt;"",ROW(E$1:E360))))+C361-D361-E361,2),0))</f>
        <v>0</v>
      </c>
    </row>
    <row r="362" spans="1:15" x14ac:dyDescent="0.2">
      <c r="A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 cm="1">
        <f t="array" ref="O362">IF(ISBLANK(E362),0,IFERROR(ROUND(INDEX(E$1:E361,MAX(IF(E$1:E361&lt;&gt;"",ROW(E$1:E361))))+C362-D362-E362,2),0))</f>
        <v>0</v>
      </c>
    </row>
    <row r="363" spans="1:15" x14ac:dyDescent="0.2">
      <c r="A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 cm="1">
        <f t="array" ref="O363">IF(ISBLANK(E363),0,IFERROR(ROUND(INDEX(E$1:E362,MAX(IF(E$1:E362&lt;&gt;"",ROW(E$1:E362))))+C363-D363-E363,2),0))</f>
        <v>0</v>
      </c>
    </row>
    <row r="364" spans="1:15" x14ac:dyDescent="0.2">
      <c r="A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 cm="1">
        <f t="array" ref="O364">IF(ISBLANK(E364),0,IFERROR(ROUND(INDEX(E$1:E363,MAX(IF(E$1:E363&lt;&gt;"",ROW(E$1:E363))))+C364-D364-E364,2),0))</f>
        <v>0</v>
      </c>
    </row>
    <row r="365" spans="1:15" x14ac:dyDescent="0.2">
      <c r="A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 cm="1">
        <f t="array" ref="O365">IF(ISBLANK(E365),0,IFERROR(ROUND(INDEX(E$1:E364,MAX(IF(E$1:E364&lt;&gt;"",ROW(E$1:E364))))+C365-D365-E365,2),0))</f>
        <v>0</v>
      </c>
    </row>
    <row r="366" spans="1:15" x14ac:dyDescent="0.2">
      <c r="A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 cm="1">
        <f t="array" ref="O366">IF(ISBLANK(E366),0,IFERROR(ROUND(INDEX(E$1:E365,MAX(IF(E$1:E365&lt;&gt;"",ROW(E$1:E365))))+C366-D366-E366,2),0))</f>
        <v>0</v>
      </c>
    </row>
    <row r="367" spans="1:15" x14ac:dyDescent="0.2">
      <c r="A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 cm="1">
        <f t="array" ref="O367">IF(ISBLANK(E367),0,IFERROR(ROUND(INDEX(E$1:E366,MAX(IF(E$1:E366&lt;&gt;"",ROW(E$1:E366))))+C367-D367-E367,2),0))</f>
        <v>0</v>
      </c>
    </row>
    <row r="368" spans="1:15" x14ac:dyDescent="0.2">
      <c r="A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 cm="1">
        <f t="array" ref="O368">IF(ISBLANK(E368),0,IFERROR(ROUND(INDEX(E$1:E367,MAX(IF(E$1:E367&lt;&gt;"",ROW(E$1:E367))))+C368-D368-E368,2),0))</f>
        <v>0</v>
      </c>
    </row>
    <row r="369" spans="1:15" x14ac:dyDescent="0.2">
      <c r="A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 cm="1">
        <f t="array" ref="O369">IF(ISBLANK(E369),0,IFERROR(ROUND(INDEX(E$1:E368,MAX(IF(E$1:E368&lt;&gt;"",ROW(E$1:E368))))+C369-D369-E369,2),0))</f>
        <v>0</v>
      </c>
    </row>
    <row r="370" spans="1:15" x14ac:dyDescent="0.2">
      <c r="A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 cm="1">
        <f t="array" ref="O370">IF(ISBLANK(E370),0,IFERROR(ROUND(INDEX(E$1:E369,MAX(IF(E$1:E369&lt;&gt;"",ROW(E$1:E369))))+C370-D370-E370,2),0))</f>
        <v>0</v>
      </c>
    </row>
    <row r="371" spans="1:15" x14ac:dyDescent="0.2">
      <c r="A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 cm="1">
        <f t="array" ref="O371">IF(ISBLANK(E371),0,IFERROR(ROUND(INDEX(E$1:E370,MAX(IF(E$1:E370&lt;&gt;"",ROW(E$1:E370))))+C371-D371-E371,2),0))</f>
        <v>0</v>
      </c>
    </row>
    <row r="372" spans="1:15" x14ac:dyDescent="0.2">
      <c r="A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 cm="1">
        <f t="array" ref="O372">IF(ISBLANK(E372),0,IFERROR(ROUND(INDEX(E$1:E371,MAX(IF(E$1:E371&lt;&gt;"",ROW(E$1:E371))))+C372-D372-E372,2),0))</f>
        <v>0</v>
      </c>
    </row>
    <row r="373" spans="1:15" x14ac:dyDescent="0.2">
      <c r="A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 cm="1">
        <f t="array" ref="O373">IF(ISBLANK(E373),0,IFERROR(ROUND(INDEX(E$1:E372,MAX(IF(E$1:E372&lt;&gt;"",ROW(E$1:E372))))+C373-D373-E373,2),0))</f>
        <v>0</v>
      </c>
    </row>
    <row r="374" spans="1:15" x14ac:dyDescent="0.2">
      <c r="A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 cm="1">
        <f t="array" ref="O374">IF(ISBLANK(E374),0,IFERROR(ROUND(INDEX(E$1:E373,MAX(IF(E$1:E373&lt;&gt;"",ROW(E$1:E373))))+C374-D374-E374,2),0))</f>
        <v>0</v>
      </c>
    </row>
    <row r="375" spans="1:15" x14ac:dyDescent="0.2">
      <c r="A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 cm="1">
        <f t="array" ref="O375">IF(ISBLANK(E375),0,IFERROR(ROUND(INDEX(E$1:E374,MAX(IF(E$1:E374&lt;&gt;"",ROW(E$1:E374))))+C375-D375-E375,2),0))</f>
        <v>0</v>
      </c>
    </row>
    <row r="376" spans="1:15" x14ac:dyDescent="0.2">
      <c r="A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 cm="1">
        <f t="array" ref="O376">IF(ISBLANK(E376),0,IFERROR(ROUND(INDEX(E$1:E375,MAX(IF(E$1:E375&lt;&gt;"",ROW(E$1:E375))))+C376-D376-E376,2),0))</f>
        <v>0</v>
      </c>
    </row>
    <row r="377" spans="1:15" x14ac:dyDescent="0.2">
      <c r="A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 cm="1">
        <f t="array" ref="O377">IF(ISBLANK(E377),0,IFERROR(ROUND(INDEX(E$1:E376,MAX(IF(E$1:E376&lt;&gt;"",ROW(E$1:E376))))+C377-D377-E377,2),0))</f>
        <v>0</v>
      </c>
    </row>
    <row r="378" spans="1:15" x14ac:dyDescent="0.2">
      <c r="A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 cm="1">
        <f t="array" ref="O378">IF(ISBLANK(E378),0,IFERROR(ROUND(INDEX(E$1:E377,MAX(IF(E$1:E377&lt;&gt;"",ROW(E$1:E377))))+C378-D378-E378,2),0))</f>
        <v>0</v>
      </c>
    </row>
    <row r="379" spans="1:15" x14ac:dyDescent="0.2">
      <c r="A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 cm="1">
        <f t="array" ref="O379">IF(ISBLANK(E379),0,IFERROR(ROUND(INDEX(E$1:E378,MAX(IF(E$1:E378&lt;&gt;"",ROW(E$1:E378))))+C379-D379-E379,2),0))</f>
        <v>0</v>
      </c>
    </row>
    <row r="380" spans="1:15" x14ac:dyDescent="0.2">
      <c r="A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 cm="1">
        <f t="array" ref="O380">IF(ISBLANK(E380),0,IFERROR(ROUND(INDEX(E$1:E379,MAX(IF(E$1:E379&lt;&gt;"",ROW(E$1:E379))))+C380-D380-E380,2),0))</f>
        <v>0</v>
      </c>
    </row>
    <row r="381" spans="1:15" x14ac:dyDescent="0.2">
      <c r="A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 cm="1">
        <f t="array" ref="O381">IF(ISBLANK(E381),0,IFERROR(ROUND(INDEX(E$1:E380,MAX(IF(E$1:E380&lt;&gt;"",ROW(E$1:E380))))+C381-D381-E381,2),0))</f>
        <v>0</v>
      </c>
    </row>
    <row r="382" spans="1:15" x14ac:dyDescent="0.2">
      <c r="A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 cm="1">
        <f t="array" ref="O382">IF(ISBLANK(E382),0,IFERROR(ROUND(INDEX(E$1:E381,MAX(IF(E$1:E381&lt;&gt;"",ROW(E$1:E381))))+C382-D382-E382,2),0))</f>
        <v>0</v>
      </c>
    </row>
    <row r="383" spans="1:15" x14ac:dyDescent="0.2">
      <c r="A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 cm="1">
        <f t="array" ref="O383">IF(ISBLANK(E383),0,IFERROR(ROUND(INDEX(E$1:E382,MAX(IF(E$1:E382&lt;&gt;"",ROW(E$1:E382))))+C383-D383-E383,2),0))</f>
        <v>0</v>
      </c>
    </row>
    <row r="384" spans="1:15" x14ac:dyDescent="0.2">
      <c r="A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 cm="1">
        <f t="array" ref="O384">IF(ISBLANK(E384),0,IFERROR(ROUND(INDEX(E$1:E383,MAX(IF(E$1:E383&lt;&gt;"",ROW(E$1:E383))))+C384-D384-E384,2),0))</f>
        <v>0</v>
      </c>
    </row>
    <row r="385" spans="1:15" x14ac:dyDescent="0.2">
      <c r="A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 cm="1">
        <f t="array" ref="O385">IF(ISBLANK(E385),0,IFERROR(ROUND(INDEX(E$1:E384,MAX(IF(E$1:E384&lt;&gt;"",ROW(E$1:E384))))+C385-D385-E385,2),0))</f>
        <v>0</v>
      </c>
    </row>
    <row r="386" spans="1:15" x14ac:dyDescent="0.2">
      <c r="A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 cm="1">
        <f t="array" ref="O386">IF(ISBLANK(E386),0,IFERROR(ROUND(INDEX(E$1:E385,MAX(IF(E$1:E385&lt;&gt;"",ROW(E$1:E385))))+C386-D386-E386,2),0))</f>
        <v>0</v>
      </c>
    </row>
    <row r="387" spans="1:15" x14ac:dyDescent="0.2">
      <c r="A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 cm="1">
        <f t="array" ref="O387">IF(ISBLANK(E387),0,IFERROR(ROUND(INDEX(E$1:E386,MAX(IF(E$1:E386&lt;&gt;"",ROW(E$1:E386))))+C387-D387-E387,2),0))</f>
        <v>0</v>
      </c>
    </row>
    <row r="388" spans="1:15" x14ac:dyDescent="0.2">
      <c r="A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 cm="1">
        <f t="array" ref="O388">IF(ISBLANK(E388),0,IFERROR(ROUND(INDEX(E$1:E387,MAX(IF(E$1:E387&lt;&gt;"",ROW(E$1:E387))))+C388-D388-E388,2),0))</f>
        <v>0</v>
      </c>
    </row>
    <row r="389" spans="1:15" x14ac:dyDescent="0.2">
      <c r="A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 cm="1">
        <f t="array" ref="O389">IF(ISBLANK(E389),0,IFERROR(ROUND(INDEX(E$1:E388,MAX(IF(E$1:E388&lt;&gt;"",ROW(E$1:E388))))+C389-D389-E389,2),0))</f>
        <v>0</v>
      </c>
    </row>
    <row r="390" spans="1:15" x14ac:dyDescent="0.2">
      <c r="A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 cm="1">
        <f t="array" ref="O390">IF(ISBLANK(E390),0,IFERROR(ROUND(INDEX(E$1:E389,MAX(IF(E$1:E389&lt;&gt;"",ROW(E$1:E389))))+C390-D390-E390,2),0))</f>
        <v>0</v>
      </c>
    </row>
    <row r="391" spans="1:15" x14ac:dyDescent="0.2">
      <c r="A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 cm="1">
        <f t="array" ref="O391">IF(ISBLANK(E391),0,IFERROR(ROUND(INDEX(E$1:E390,MAX(IF(E$1:E390&lt;&gt;"",ROW(E$1:E390))))+C391-D391-E391,2),0))</f>
        <v>0</v>
      </c>
    </row>
    <row r="392" spans="1:15" x14ac:dyDescent="0.2">
      <c r="A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 cm="1">
        <f t="array" ref="O392">IF(ISBLANK(E392),0,IFERROR(ROUND(INDEX(E$1:E391,MAX(IF(E$1:E391&lt;&gt;"",ROW(E$1:E391))))+C392-D392-E392,2),0))</f>
        <v>0</v>
      </c>
    </row>
    <row r="393" spans="1:15" x14ac:dyDescent="0.2">
      <c r="A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 cm="1">
        <f t="array" ref="O393">IF(ISBLANK(E393),0,IFERROR(ROUND(INDEX(E$1:E392,MAX(IF(E$1:E392&lt;&gt;"",ROW(E$1:E392))))+C393-D393-E393,2),0))</f>
        <v>0</v>
      </c>
    </row>
    <row r="394" spans="1:15" x14ac:dyDescent="0.2">
      <c r="A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 cm="1">
        <f t="array" ref="O394">IF(ISBLANK(E394),0,IFERROR(ROUND(INDEX(E$1:E393,MAX(IF(E$1:E393&lt;&gt;"",ROW(E$1:E393))))+C394-D394-E394,2),0))</f>
        <v>0</v>
      </c>
    </row>
    <row r="395" spans="1:15" x14ac:dyDescent="0.2">
      <c r="A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 cm="1">
        <f t="array" ref="O395">IF(ISBLANK(E395),0,IFERROR(ROUND(INDEX(E$1:E394,MAX(IF(E$1:E394&lt;&gt;"",ROW(E$1:E394))))+C395-D395-E395,2),0))</f>
        <v>0</v>
      </c>
    </row>
    <row r="396" spans="1:15" x14ac:dyDescent="0.2">
      <c r="A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 cm="1">
        <f t="array" ref="O396">IF(ISBLANK(E396),0,IFERROR(ROUND(INDEX(E$1:E395,MAX(IF(E$1:E395&lt;&gt;"",ROW(E$1:E395))))+C396-D396-E396,2),0))</f>
        <v>0</v>
      </c>
    </row>
    <row r="397" spans="1:15" x14ac:dyDescent="0.2">
      <c r="A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 cm="1">
        <f t="array" ref="O397">IF(ISBLANK(E397),0,IFERROR(ROUND(INDEX(E$1:E396,MAX(IF(E$1:E396&lt;&gt;"",ROW(E$1:E396))))+C397-D397-E397,2),0))</f>
        <v>0</v>
      </c>
    </row>
    <row r="398" spans="1:15" x14ac:dyDescent="0.2">
      <c r="A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 cm="1">
        <f t="array" ref="O398">IF(ISBLANK(E398),0,IFERROR(ROUND(INDEX(E$1:E397,MAX(IF(E$1:E397&lt;&gt;"",ROW(E$1:E397))))+C398-D398-E398,2),0))</f>
        <v>0</v>
      </c>
    </row>
    <row r="399" spans="1:15" x14ac:dyDescent="0.2">
      <c r="A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 cm="1">
        <f t="array" ref="O399">IF(ISBLANK(E399),0,IFERROR(ROUND(INDEX(E$1:E398,MAX(IF(E$1:E398&lt;&gt;"",ROW(E$1:E398))))+C399-D399-E399,2),0))</f>
        <v>0</v>
      </c>
    </row>
    <row r="400" spans="1:15" x14ac:dyDescent="0.2">
      <c r="A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 cm="1">
        <f t="array" ref="O400">IF(ISBLANK(E400),0,IFERROR(ROUND(INDEX(E$1:E399,MAX(IF(E$1:E399&lt;&gt;"",ROW(E$1:E399))))+C400-D400-E400,2),0))</f>
        <v>0</v>
      </c>
    </row>
    <row r="401" spans="1:15" x14ac:dyDescent="0.2">
      <c r="A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 cm="1">
        <f t="array" ref="O401">IF(ISBLANK(E401),0,IFERROR(ROUND(INDEX(E$1:E400,MAX(IF(E$1:E400&lt;&gt;"",ROW(E$1:E400))))+C401-D401-E401,2),0))</f>
        <v>0</v>
      </c>
    </row>
    <row r="402" spans="1:15" x14ac:dyDescent="0.2">
      <c r="A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 cm="1">
        <f t="array" ref="O402">IF(ISBLANK(E402),0,IFERROR(ROUND(INDEX(E$1:E401,MAX(IF(E$1:E401&lt;&gt;"",ROW(E$1:E401))))+C402-D402-E402,2),0))</f>
        <v>0</v>
      </c>
    </row>
    <row r="403" spans="1:15" x14ac:dyDescent="0.2">
      <c r="A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 cm="1">
        <f t="array" ref="O403">IF(ISBLANK(E403),0,IFERROR(ROUND(INDEX(E$1:E402,MAX(IF(E$1:E402&lt;&gt;"",ROW(E$1:E402))))+C403-D403-E403,2),0))</f>
        <v>0</v>
      </c>
    </row>
    <row r="404" spans="1:15" x14ac:dyDescent="0.2">
      <c r="A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 cm="1">
        <f t="array" ref="O404">IF(ISBLANK(E404),0,IFERROR(ROUND(INDEX(E$1:E403,MAX(IF(E$1:E403&lt;&gt;"",ROW(E$1:E403))))+C404-D404-E404,2),0))</f>
        <v>0</v>
      </c>
    </row>
    <row r="405" spans="1:15" x14ac:dyDescent="0.2">
      <c r="A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 cm="1">
        <f t="array" ref="O405">IF(ISBLANK(E405),0,IFERROR(ROUND(INDEX(E$1:E404,MAX(IF(E$1:E404&lt;&gt;"",ROW(E$1:E404))))+C405-D405-E405,2),0))</f>
        <v>0</v>
      </c>
    </row>
    <row r="406" spans="1:15" x14ac:dyDescent="0.2">
      <c r="A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 cm="1">
        <f t="array" ref="O406">IF(ISBLANK(E406),0,IFERROR(ROUND(INDEX(E$1:E405,MAX(IF(E$1:E405&lt;&gt;"",ROW(E$1:E405))))+C406-D406-E406,2),0))</f>
        <v>0</v>
      </c>
    </row>
    <row r="407" spans="1:15" x14ac:dyDescent="0.2">
      <c r="A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 cm="1">
        <f t="array" ref="O407">IF(ISBLANK(E407),0,IFERROR(ROUND(INDEX(E$1:E406,MAX(IF(E$1:E406&lt;&gt;"",ROW(E$1:E406))))+C407-D407-E407,2),0))</f>
        <v>0</v>
      </c>
    </row>
    <row r="408" spans="1:15" x14ac:dyDescent="0.2">
      <c r="A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 cm="1">
        <f t="array" ref="O408">IF(ISBLANK(E408),0,IFERROR(ROUND(INDEX(E$1:E407,MAX(IF(E$1:E407&lt;&gt;"",ROW(E$1:E407))))+C408-D408-E408,2),0))</f>
        <v>0</v>
      </c>
    </row>
    <row r="409" spans="1:15" x14ac:dyDescent="0.2">
      <c r="A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 cm="1">
        <f t="array" ref="O409">IF(ISBLANK(E409),0,IFERROR(ROUND(INDEX(E$1:E408,MAX(IF(E$1:E408&lt;&gt;"",ROW(E$1:E408))))+C409-D409-E409,2),0))</f>
        <v>0</v>
      </c>
    </row>
    <row r="410" spans="1:15" x14ac:dyDescent="0.2">
      <c r="A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 cm="1">
        <f t="array" ref="O410">IF(ISBLANK(E410),0,IFERROR(ROUND(INDEX(E$1:E409,MAX(IF(E$1:E409&lt;&gt;"",ROW(E$1:E409))))+C410-D410-E410,2),0))</f>
        <v>0</v>
      </c>
    </row>
    <row r="411" spans="1:15" x14ac:dyDescent="0.2">
      <c r="A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 cm="1">
        <f t="array" ref="O411">IF(ISBLANK(E411),0,IFERROR(ROUND(INDEX(E$1:E410,MAX(IF(E$1:E410&lt;&gt;"",ROW(E$1:E410))))+C411-D411-E411,2),0))</f>
        <v>0</v>
      </c>
    </row>
    <row r="412" spans="1:15" x14ac:dyDescent="0.2">
      <c r="A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 cm="1">
        <f t="array" ref="O412">IF(ISBLANK(E412),0,IFERROR(ROUND(INDEX(E$1:E411,MAX(IF(E$1:E411&lt;&gt;"",ROW(E$1:E411))))+C412-D412-E412,2),0))</f>
        <v>0</v>
      </c>
    </row>
    <row r="413" spans="1:15" x14ac:dyDescent="0.2">
      <c r="A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 cm="1">
        <f t="array" ref="O413">IF(ISBLANK(E413),0,IFERROR(ROUND(INDEX(E$1:E412,MAX(IF(E$1:E412&lt;&gt;"",ROW(E$1:E412))))+C413-D413-E413,2),0))</f>
        <v>0</v>
      </c>
    </row>
    <row r="414" spans="1:15" x14ac:dyDescent="0.2">
      <c r="A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 cm="1">
        <f t="array" ref="O414">IF(ISBLANK(E414),0,IFERROR(ROUND(INDEX(E$1:E413,MAX(IF(E$1:E413&lt;&gt;"",ROW(E$1:E413))))+C414-D414-E414,2),0))</f>
        <v>0</v>
      </c>
    </row>
    <row r="415" spans="1:15" x14ac:dyDescent="0.2">
      <c r="A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 cm="1">
        <f t="array" ref="O415">IF(ISBLANK(E415),0,IFERROR(ROUND(INDEX(E$1:E414,MAX(IF(E$1:E414&lt;&gt;"",ROW(E$1:E414))))+C415-D415-E415,2),0))</f>
        <v>0</v>
      </c>
    </row>
    <row r="416" spans="1:15" x14ac:dyDescent="0.2">
      <c r="A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 cm="1">
        <f t="array" ref="O416">IF(ISBLANK(E416),0,IFERROR(ROUND(INDEX(E$1:E415,MAX(IF(E$1:E415&lt;&gt;"",ROW(E$1:E415))))+C416-D416-E416,2),0))</f>
        <v>0</v>
      </c>
    </row>
    <row r="417" spans="1:15" x14ac:dyDescent="0.2">
      <c r="A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 cm="1">
        <f t="array" ref="O417">IF(ISBLANK(E417),0,IFERROR(ROUND(INDEX(E$1:E416,MAX(IF(E$1:E416&lt;&gt;"",ROW(E$1:E416))))+C417-D417-E417,2),0))</f>
        <v>0</v>
      </c>
    </row>
    <row r="418" spans="1:15" x14ac:dyDescent="0.2">
      <c r="A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 cm="1">
        <f t="array" ref="O418">IF(ISBLANK(E418),0,IFERROR(ROUND(INDEX(E$1:E417,MAX(IF(E$1:E417&lt;&gt;"",ROW(E$1:E417))))+C418-D418-E418,2),0))</f>
        <v>0</v>
      </c>
    </row>
    <row r="419" spans="1:15" x14ac:dyDescent="0.2">
      <c r="A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 cm="1">
        <f t="array" ref="O419">IF(ISBLANK(E419),0,IFERROR(ROUND(INDEX(E$1:E418,MAX(IF(E$1:E418&lt;&gt;"",ROW(E$1:E418))))+C419-D419-E419,2),0))</f>
        <v>0</v>
      </c>
    </row>
    <row r="420" spans="1:15" x14ac:dyDescent="0.2">
      <c r="A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 cm="1">
        <f t="array" ref="O420">IF(ISBLANK(E420),0,IFERROR(ROUND(INDEX(E$1:E419,MAX(IF(E$1:E419&lt;&gt;"",ROW(E$1:E419))))+C420-D420-E420,2),0))</f>
        <v>0</v>
      </c>
    </row>
    <row r="421" spans="1:15" x14ac:dyDescent="0.2">
      <c r="A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 cm="1">
        <f t="array" ref="O421">IF(ISBLANK(E421),0,IFERROR(ROUND(INDEX(E$1:E420,MAX(IF(E$1:E420&lt;&gt;"",ROW(E$1:E420))))+C421-D421-E421,2),0))</f>
        <v>0</v>
      </c>
    </row>
    <row r="422" spans="1:15" x14ac:dyDescent="0.2">
      <c r="A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 cm="1">
        <f t="array" ref="O422">IF(ISBLANK(E422),0,IFERROR(ROUND(INDEX(E$1:E421,MAX(IF(E$1:E421&lt;&gt;"",ROW(E$1:E421))))+C422-D422-E422,2),0))</f>
        <v>0</v>
      </c>
    </row>
    <row r="423" spans="1:15" x14ac:dyDescent="0.2">
      <c r="A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 cm="1">
        <f t="array" ref="O423">IF(ISBLANK(E423),0,IFERROR(ROUND(INDEX(E$1:E422,MAX(IF(E$1:E422&lt;&gt;"",ROW(E$1:E422))))+C423-D423-E423,2),0))</f>
        <v>0</v>
      </c>
    </row>
    <row r="424" spans="1:15" x14ac:dyDescent="0.2">
      <c r="A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 cm="1">
        <f t="array" ref="O424">IF(ISBLANK(E424),0,IFERROR(ROUND(INDEX(E$1:E423,MAX(IF(E$1:E423&lt;&gt;"",ROW(E$1:E423))))+C424-D424-E424,2),0))</f>
        <v>0</v>
      </c>
    </row>
    <row r="425" spans="1:15" x14ac:dyDescent="0.2">
      <c r="A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 cm="1">
        <f t="array" ref="O425">IF(ISBLANK(E425),0,IFERROR(ROUND(INDEX(E$1:E424,MAX(IF(E$1:E424&lt;&gt;"",ROW(E$1:E424))))+C425-D425-E425,2),0))</f>
        <v>0</v>
      </c>
    </row>
    <row r="426" spans="1:15" x14ac:dyDescent="0.2">
      <c r="A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 cm="1">
        <f t="array" ref="O426">IF(ISBLANK(E426),0,IFERROR(ROUND(INDEX(E$1:E425,MAX(IF(E$1:E425&lt;&gt;"",ROW(E$1:E425))))+C426-D426-E426,2),0))</f>
        <v>0</v>
      </c>
    </row>
    <row r="427" spans="1:15" x14ac:dyDescent="0.2">
      <c r="A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 cm="1">
        <f t="array" ref="O427">IF(ISBLANK(E427),0,IFERROR(ROUND(INDEX(E$1:E426,MAX(IF(E$1:E426&lt;&gt;"",ROW(E$1:E426))))+C427-D427-E427,2),0))</f>
        <v>0</v>
      </c>
    </row>
    <row r="428" spans="1:15" x14ac:dyDescent="0.2">
      <c r="A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 cm="1">
        <f t="array" ref="O428">IF(ISBLANK(E428),0,IFERROR(ROUND(INDEX(E$1:E427,MAX(IF(E$1:E427&lt;&gt;"",ROW(E$1:E427))))+C428-D428-E428,2),0))</f>
        <v>0</v>
      </c>
    </row>
    <row r="429" spans="1:15" x14ac:dyDescent="0.2">
      <c r="A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 cm="1">
        <f t="array" ref="O429">IF(ISBLANK(E429),0,IFERROR(ROUND(INDEX(E$1:E428,MAX(IF(E$1:E428&lt;&gt;"",ROW(E$1:E428))))+C429-D429-E429,2),0))</f>
        <v>0</v>
      </c>
    </row>
    <row r="430" spans="1:15" x14ac:dyDescent="0.2">
      <c r="A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 cm="1">
        <f t="array" ref="O430">IF(ISBLANK(E430),0,IFERROR(ROUND(INDEX(E$1:E429,MAX(IF(E$1:E429&lt;&gt;"",ROW(E$1:E429))))+C430-D430-E430,2),0))</f>
        <v>0</v>
      </c>
    </row>
    <row r="431" spans="1:15" x14ac:dyDescent="0.2">
      <c r="A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 cm="1">
        <f t="array" ref="O431">IF(ISBLANK(E431),0,IFERROR(ROUND(INDEX(E$1:E430,MAX(IF(E$1:E430&lt;&gt;"",ROW(E$1:E430))))+C431-D431-E431,2),0))</f>
        <v>0</v>
      </c>
    </row>
    <row r="432" spans="1:15" x14ac:dyDescent="0.2">
      <c r="A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 cm="1">
        <f t="array" ref="O432">IF(ISBLANK(E432),0,IFERROR(ROUND(INDEX(E$1:E431,MAX(IF(E$1:E431&lt;&gt;"",ROW(E$1:E431))))+C432-D432-E432,2),0))</f>
        <v>0</v>
      </c>
    </row>
    <row r="433" spans="1:15" x14ac:dyDescent="0.2">
      <c r="A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 cm="1">
        <f t="array" ref="O433">IF(ISBLANK(E433),0,IFERROR(ROUND(INDEX(E$1:E432,MAX(IF(E$1:E432&lt;&gt;"",ROW(E$1:E432))))+C433-D433-E433,2),0))</f>
        <v>0</v>
      </c>
    </row>
    <row r="434" spans="1:15" x14ac:dyDescent="0.2">
      <c r="A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 cm="1">
        <f t="array" ref="O434">IF(ISBLANK(E434),0,IFERROR(ROUND(INDEX(E$1:E433,MAX(IF(E$1:E433&lt;&gt;"",ROW(E$1:E433))))+C434-D434-E434,2),0))</f>
        <v>0</v>
      </c>
    </row>
    <row r="435" spans="1:15" x14ac:dyDescent="0.2">
      <c r="A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 cm="1">
        <f t="array" ref="O435">IF(ISBLANK(E435),0,IFERROR(ROUND(INDEX(E$1:E434,MAX(IF(E$1:E434&lt;&gt;"",ROW(E$1:E434))))+C435-D435-E435,2),0))</f>
        <v>0</v>
      </c>
    </row>
    <row r="436" spans="1:15" x14ac:dyDescent="0.2">
      <c r="A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 cm="1">
        <f t="array" ref="O436">IF(ISBLANK(E436),0,IFERROR(ROUND(INDEX(E$1:E435,MAX(IF(E$1:E435&lt;&gt;"",ROW(E$1:E435))))+C436-D436-E436,2),0))</f>
        <v>0</v>
      </c>
    </row>
    <row r="437" spans="1:15" x14ac:dyDescent="0.2">
      <c r="A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 cm="1">
        <f t="array" ref="O437">IF(ISBLANK(E437),0,IFERROR(ROUND(INDEX(E$1:E436,MAX(IF(E$1:E436&lt;&gt;"",ROW(E$1:E436))))+C437-D437-E437,2),0))</f>
        <v>0</v>
      </c>
    </row>
    <row r="438" spans="1:15" x14ac:dyDescent="0.2">
      <c r="A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 cm="1">
        <f t="array" ref="O438">IF(ISBLANK(E438),0,IFERROR(ROUND(INDEX(E$1:E437,MAX(IF(E$1:E437&lt;&gt;"",ROW(E$1:E437))))+C438-D438-E438,2),0))</f>
        <v>0</v>
      </c>
    </row>
    <row r="439" spans="1:15" x14ac:dyDescent="0.2">
      <c r="A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 cm="1">
        <f t="array" ref="O439">IF(ISBLANK(E439),0,IFERROR(ROUND(INDEX(E$1:E438,MAX(IF(E$1:E438&lt;&gt;"",ROW(E$1:E438))))+C439-D439-E439,2),0))</f>
        <v>0</v>
      </c>
    </row>
    <row r="440" spans="1:15" x14ac:dyDescent="0.2">
      <c r="A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 cm="1">
        <f t="array" ref="O440">IF(ISBLANK(E440),0,IFERROR(ROUND(INDEX(E$1:E439,MAX(IF(E$1:E439&lt;&gt;"",ROW(E$1:E439))))+C440-D440-E440,2),0))</f>
        <v>0</v>
      </c>
    </row>
    <row r="441" spans="1:15" x14ac:dyDescent="0.2">
      <c r="A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 cm="1">
        <f t="array" ref="O441">IF(ISBLANK(E441),0,IFERROR(ROUND(INDEX(E$1:E440,MAX(IF(E$1:E440&lt;&gt;"",ROW(E$1:E440))))+C441-D441-E441,2),0))</f>
        <v>0</v>
      </c>
    </row>
    <row r="442" spans="1:15" x14ac:dyDescent="0.2">
      <c r="A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 cm="1">
        <f t="array" ref="O442">IF(ISBLANK(E442),0,IFERROR(ROUND(INDEX(E$1:E441,MAX(IF(E$1:E441&lt;&gt;"",ROW(E$1:E441))))+C442-D442-E442,2),0))</f>
        <v>0</v>
      </c>
    </row>
    <row r="443" spans="1:15" x14ac:dyDescent="0.2">
      <c r="A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 cm="1">
        <f t="array" ref="O443">IF(ISBLANK(E443),0,IFERROR(ROUND(INDEX(E$1:E442,MAX(IF(E$1:E442&lt;&gt;"",ROW(E$1:E442))))+C443-D443-E443,2),0))</f>
        <v>0</v>
      </c>
    </row>
    <row r="444" spans="1:15" x14ac:dyDescent="0.2">
      <c r="A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 cm="1">
        <f t="array" ref="O444">IF(ISBLANK(E444),0,IFERROR(ROUND(INDEX(E$1:E443,MAX(IF(E$1:E443&lt;&gt;"",ROW(E$1:E443))))+C444-D444-E444,2),0))</f>
        <v>0</v>
      </c>
    </row>
    <row r="445" spans="1:15" x14ac:dyDescent="0.2">
      <c r="A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 cm="1">
        <f t="array" ref="O445">IF(ISBLANK(E445),0,IFERROR(ROUND(INDEX(E$1:E444,MAX(IF(E$1:E444&lt;&gt;"",ROW(E$1:E444))))+C445-D445-E445,2),0))</f>
        <v>0</v>
      </c>
    </row>
    <row r="446" spans="1:15" x14ac:dyDescent="0.2">
      <c r="A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 cm="1">
        <f t="array" ref="O446">IF(ISBLANK(E446),0,IFERROR(ROUND(INDEX(E$1:E445,MAX(IF(E$1:E445&lt;&gt;"",ROW(E$1:E445))))+C446-D446-E446,2),0))</f>
        <v>0</v>
      </c>
    </row>
    <row r="447" spans="1:15" x14ac:dyDescent="0.2">
      <c r="A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 cm="1">
        <f t="array" ref="O447">IF(ISBLANK(E447),0,IFERROR(ROUND(INDEX(E$1:E446,MAX(IF(E$1:E446&lt;&gt;"",ROW(E$1:E446))))+C447-D447-E447,2),0))</f>
        <v>0</v>
      </c>
    </row>
    <row r="448" spans="1:15" x14ac:dyDescent="0.2">
      <c r="A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 cm="1">
        <f t="array" ref="O448">IF(ISBLANK(E448),0,IFERROR(ROUND(INDEX(E$1:E447,MAX(IF(E$1:E447&lt;&gt;"",ROW(E$1:E447))))+C448-D448-E448,2),0))</f>
        <v>0</v>
      </c>
    </row>
    <row r="449" spans="1:15" x14ac:dyDescent="0.2">
      <c r="A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 cm="1">
        <f t="array" ref="O449">IF(ISBLANK(E449),0,IFERROR(ROUND(INDEX(E$1:E448,MAX(IF(E$1:E448&lt;&gt;"",ROW(E$1:E448))))+C449-D449-E449,2),0))</f>
        <v>0</v>
      </c>
    </row>
    <row r="450" spans="1:15" x14ac:dyDescent="0.2">
      <c r="A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 cm="1">
        <f t="array" ref="O450">IF(ISBLANK(E450),0,IFERROR(ROUND(INDEX(E$1:E449,MAX(IF(E$1:E449&lt;&gt;"",ROW(E$1:E449))))+C450-D450-E450,2),0))</f>
        <v>0</v>
      </c>
    </row>
    <row r="451" spans="1:15" x14ac:dyDescent="0.2">
      <c r="A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 cm="1">
        <f t="array" ref="O451">IF(ISBLANK(E451),0,IFERROR(ROUND(INDEX(E$1:E450,MAX(IF(E$1:E450&lt;&gt;"",ROW(E$1:E450))))+C451-D451-E451,2),0))</f>
        <v>0</v>
      </c>
    </row>
    <row r="452" spans="1:15" x14ac:dyDescent="0.2">
      <c r="A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 cm="1">
        <f t="array" ref="O452">IF(ISBLANK(E452),0,IFERROR(ROUND(INDEX(E$1:E451,MAX(IF(E$1:E451&lt;&gt;"",ROW(E$1:E451))))+C452-D452-E452,2),0))</f>
        <v>0</v>
      </c>
    </row>
    <row r="453" spans="1:15" x14ac:dyDescent="0.2">
      <c r="A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 cm="1">
        <f t="array" ref="O453">IF(ISBLANK(E453),0,IFERROR(ROUND(INDEX(E$1:E452,MAX(IF(E$1:E452&lt;&gt;"",ROW(E$1:E452))))+C453-D453-E453,2),0))</f>
        <v>0</v>
      </c>
    </row>
    <row r="454" spans="1:15" x14ac:dyDescent="0.2">
      <c r="A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 cm="1">
        <f t="array" ref="O454">IF(ISBLANK(E454),0,IFERROR(ROUND(INDEX(E$1:E453,MAX(IF(E$1:E453&lt;&gt;"",ROW(E$1:E453))))+C454-D454-E454,2),0))</f>
        <v>0</v>
      </c>
    </row>
    <row r="455" spans="1:15" x14ac:dyDescent="0.2">
      <c r="A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 cm="1">
        <f t="array" ref="O455">IF(ISBLANK(E455),0,IFERROR(ROUND(INDEX(E$1:E454,MAX(IF(E$1:E454&lt;&gt;"",ROW(E$1:E454))))+C455-D455-E455,2),0))</f>
        <v>0</v>
      </c>
    </row>
    <row r="456" spans="1:15" x14ac:dyDescent="0.2">
      <c r="A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 cm="1">
        <f t="array" ref="O456">IF(ISBLANK(E456),0,IFERROR(ROUND(INDEX(E$1:E455,MAX(IF(E$1:E455&lt;&gt;"",ROW(E$1:E455))))+C456-D456-E456,2),0))</f>
        <v>0</v>
      </c>
    </row>
    <row r="457" spans="1:15" x14ac:dyDescent="0.2">
      <c r="A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 cm="1">
        <f t="array" ref="O457">IF(ISBLANK(E457),0,IFERROR(ROUND(INDEX(E$1:E456,MAX(IF(E$1:E456&lt;&gt;"",ROW(E$1:E456))))+C457-D457-E457,2),0))</f>
        <v>0</v>
      </c>
    </row>
    <row r="458" spans="1:15" x14ac:dyDescent="0.2">
      <c r="A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 cm="1">
        <f t="array" ref="O458">IF(ISBLANK(E458),0,IFERROR(ROUND(INDEX(E$1:E457,MAX(IF(E$1:E457&lt;&gt;"",ROW(E$1:E457))))+C458-D458-E458,2),0))</f>
        <v>0</v>
      </c>
    </row>
    <row r="459" spans="1:15" x14ac:dyDescent="0.2">
      <c r="A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 cm="1">
        <f t="array" ref="O459">IF(ISBLANK(E459),0,IFERROR(ROUND(INDEX(E$1:E458,MAX(IF(E$1:E458&lt;&gt;"",ROW(E$1:E458))))+C459-D459-E459,2),0))</f>
        <v>0</v>
      </c>
    </row>
    <row r="460" spans="1:15" x14ac:dyDescent="0.2">
      <c r="A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 cm="1">
        <f t="array" ref="O460">IF(ISBLANK(E460),0,IFERROR(ROUND(INDEX(E$1:E459,MAX(IF(E$1:E459&lt;&gt;"",ROW(E$1:E459))))+C460-D460-E460,2),0))</f>
        <v>0</v>
      </c>
    </row>
    <row r="461" spans="1:15" x14ac:dyDescent="0.2">
      <c r="A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 cm="1">
        <f t="array" ref="O461">IF(ISBLANK(E461),0,IFERROR(ROUND(INDEX(E$1:E460,MAX(IF(E$1:E460&lt;&gt;"",ROW(E$1:E460))))+C461-D461-E461,2),0))</f>
        <v>0</v>
      </c>
    </row>
    <row r="462" spans="1:15" x14ac:dyDescent="0.2">
      <c r="A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 cm="1">
        <f t="array" ref="O462">IF(ISBLANK(E462),0,IFERROR(ROUND(INDEX(E$1:E461,MAX(IF(E$1:E461&lt;&gt;"",ROW(E$1:E461))))+C462-D462-E462,2),0))</f>
        <v>0</v>
      </c>
    </row>
    <row r="463" spans="1:15" x14ac:dyDescent="0.2">
      <c r="A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 cm="1">
        <f t="array" ref="O463">IF(ISBLANK(E463),0,IFERROR(ROUND(INDEX(E$1:E462,MAX(IF(E$1:E462&lt;&gt;"",ROW(E$1:E462))))+C463-D463-E463,2),0))</f>
        <v>0</v>
      </c>
    </row>
    <row r="464" spans="1:15" x14ac:dyDescent="0.2">
      <c r="A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 cm="1">
        <f t="array" ref="O464">IF(ISBLANK(E464),0,IFERROR(ROUND(INDEX(E$1:E463,MAX(IF(E$1:E463&lt;&gt;"",ROW(E$1:E463))))+C464-D464-E464,2),0))</f>
        <v>0</v>
      </c>
    </row>
    <row r="465" spans="1:15" x14ac:dyDescent="0.2">
      <c r="A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 cm="1">
        <f t="array" ref="O465">IF(ISBLANK(E465),0,IFERROR(ROUND(INDEX(E$1:E464,MAX(IF(E$1:E464&lt;&gt;"",ROW(E$1:E464))))+C465-D465-E465,2),0))</f>
        <v>0</v>
      </c>
    </row>
    <row r="466" spans="1:15" x14ac:dyDescent="0.2">
      <c r="A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 cm="1">
        <f t="array" ref="O466">IF(ISBLANK(E466),0,IFERROR(ROUND(INDEX(E$1:E465,MAX(IF(E$1:E465&lt;&gt;"",ROW(E$1:E465))))+C466-D466-E466,2),0))</f>
        <v>0</v>
      </c>
    </row>
    <row r="467" spans="1:15" x14ac:dyDescent="0.2">
      <c r="A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 cm="1">
        <f t="array" ref="O467">IF(ISBLANK(E467),0,IFERROR(ROUND(INDEX(E$1:E466,MAX(IF(E$1:E466&lt;&gt;"",ROW(E$1:E466))))+C467-D467-E467,2),0))</f>
        <v>0</v>
      </c>
    </row>
    <row r="468" spans="1:15" x14ac:dyDescent="0.2">
      <c r="A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 cm="1">
        <f t="array" ref="O468">IF(ISBLANK(E468),0,IFERROR(ROUND(INDEX(E$1:E467,MAX(IF(E$1:E467&lt;&gt;"",ROW(E$1:E467))))+C468-D468-E468,2),0))</f>
        <v>0</v>
      </c>
    </row>
    <row r="469" spans="1:15" x14ac:dyDescent="0.2">
      <c r="A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 cm="1">
        <f t="array" ref="O469">IF(ISBLANK(E469),0,IFERROR(ROUND(INDEX(E$1:E468,MAX(IF(E$1:E468&lt;&gt;"",ROW(E$1:E468))))+C469-D469-E469,2),0))</f>
        <v>0</v>
      </c>
    </row>
    <row r="470" spans="1:15" x14ac:dyDescent="0.2">
      <c r="A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 cm="1">
        <f t="array" ref="O470">IF(ISBLANK(E470),0,IFERROR(ROUND(INDEX(E$1:E469,MAX(IF(E$1:E469&lt;&gt;"",ROW(E$1:E469))))+C470-D470-E470,2),0))</f>
        <v>0</v>
      </c>
    </row>
    <row r="471" spans="1:15" x14ac:dyDescent="0.2">
      <c r="A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 cm="1">
        <f t="array" ref="O471">IF(ISBLANK(E471),0,IFERROR(ROUND(INDEX(E$1:E470,MAX(IF(E$1:E470&lt;&gt;"",ROW(E$1:E470))))+C471-D471-E471,2),0))</f>
        <v>0</v>
      </c>
    </row>
    <row r="472" spans="1:15" x14ac:dyDescent="0.2">
      <c r="A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 cm="1">
        <f t="array" ref="O472">IF(ISBLANK(E472),0,IFERROR(ROUND(INDEX(E$1:E471,MAX(IF(E$1:E471&lt;&gt;"",ROW(E$1:E471))))+C472-D472-E472,2),0))</f>
        <v>0</v>
      </c>
    </row>
    <row r="473" spans="1:15" x14ac:dyDescent="0.2">
      <c r="A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 cm="1">
        <f t="array" ref="O473">IF(ISBLANK(E473),0,IFERROR(ROUND(INDEX(E$1:E472,MAX(IF(E$1:E472&lt;&gt;"",ROW(E$1:E472))))+C473-D473-E473,2),0))</f>
        <v>0</v>
      </c>
    </row>
    <row r="474" spans="1:15" x14ac:dyDescent="0.2">
      <c r="A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 cm="1">
        <f t="array" ref="O474">IF(ISBLANK(E474),0,IFERROR(ROUND(INDEX(E$1:E473,MAX(IF(E$1:E473&lt;&gt;"",ROW(E$1:E473))))+C474-D474-E474,2),0))</f>
        <v>0</v>
      </c>
    </row>
    <row r="475" spans="1:15" x14ac:dyDescent="0.2">
      <c r="A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 cm="1">
        <f t="array" ref="O475">IF(ISBLANK(E475),0,IFERROR(ROUND(INDEX(E$1:E474,MAX(IF(E$1:E474&lt;&gt;"",ROW(E$1:E474))))+C475-D475-E475,2),0))</f>
        <v>0</v>
      </c>
    </row>
    <row r="476" spans="1:15" x14ac:dyDescent="0.2">
      <c r="A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 cm="1">
        <f t="array" ref="O476">IF(ISBLANK(E476),0,IFERROR(ROUND(INDEX(E$1:E475,MAX(IF(E$1:E475&lt;&gt;"",ROW(E$1:E475))))+C476-D476-E476,2),0))</f>
        <v>0</v>
      </c>
    </row>
    <row r="477" spans="1:15" x14ac:dyDescent="0.2">
      <c r="A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 cm="1">
        <f t="array" ref="O477">IF(ISBLANK(E477),0,IFERROR(ROUND(INDEX(E$1:E476,MAX(IF(E$1:E476&lt;&gt;"",ROW(E$1:E476))))+C477-D477-E477,2),0))</f>
        <v>0</v>
      </c>
    </row>
    <row r="478" spans="1:15" x14ac:dyDescent="0.2">
      <c r="A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 cm="1">
        <f t="array" ref="O478">IF(ISBLANK(E478),0,IFERROR(ROUND(INDEX(E$1:E477,MAX(IF(E$1:E477&lt;&gt;"",ROW(E$1:E477))))+C478-D478-E478,2),0))</f>
        <v>0</v>
      </c>
    </row>
    <row r="479" spans="1:15" x14ac:dyDescent="0.2">
      <c r="A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 cm="1">
        <f t="array" ref="O479">IF(ISBLANK(E479),0,IFERROR(ROUND(INDEX(E$1:E478,MAX(IF(E$1:E478&lt;&gt;"",ROW(E$1:E478))))+C479-D479-E479,2),0))</f>
        <v>0</v>
      </c>
    </row>
    <row r="480" spans="1:15" x14ac:dyDescent="0.2">
      <c r="A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 cm="1">
        <f t="array" ref="O480">IF(ISBLANK(E480),0,IFERROR(ROUND(INDEX(E$1:E479,MAX(IF(E$1:E479&lt;&gt;"",ROW(E$1:E479))))+C480-D480-E480,2),0))</f>
        <v>0</v>
      </c>
    </row>
    <row r="481" spans="1:15" x14ac:dyDescent="0.2">
      <c r="A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 cm="1">
        <f t="array" ref="O481">IF(ISBLANK(E481),0,IFERROR(ROUND(INDEX(E$1:E480,MAX(IF(E$1:E480&lt;&gt;"",ROW(E$1:E480))))+C481-D481-E481,2),0))</f>
        <v>0</v>
      </c>
    </row>
    <row r="482" spans="1:15" x14ac:dyDescent="0.2">
      <c r="A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 cm="1">
        <f t="array" ref="O482">IF(ISBLANK(E482),0,IFERROR(ROUND(INDEX(E$1:E481,MAX(IF(E$1:E481&lt;&gt;"",ROW(E$1:E481))))+C482-D482-E482,2),0))</f>
        <v>0</v>
      </c>
    </row>
    <row r="483" spans="1:15" x14ac:dyDescent="0.2">
      <c r="A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 cm="1">
        <f t="array" ref="O483">IF(ISBLANK(E483),0,IFERROR(ROUND(INDEX(E$1:E482,MAX(IF(E$1:E482&lt;&gt;"",ROW(E$1:E482))))+C483-D483-E483,2),0))</f>
        <v>0</v>
      </c>
    </row>
    <row r="484" spans="1:15" x14ac:dyDescent="0.2">
      <c r="A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 cm="1">
        <f t="array" ref="O484">IF(ISBLANK(E484),0,IFERROR(ROUND(INDEX(E$1:E483,MAX(IF(E$1:E483&lt;&gt;"",ROW(E$1:E483))))+C484-D484-E484,2),0))</f>
        <v>0</v>
      </c>
    </row>
    <row r="485" spans="1:15" x14ac:dyDescent="0.2">
      <c r="A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 cm="1">
        <f t="array" ref="O485">IF(ISBLANK(E485),0,IFERROR(ROUND(INDEX(E$1:E484,MAX(IF(E$1:E484&lt;&gt;"",ROW(E$1:E484))))+C485-D485-E485,2),0))</f>
        <v>0</v>
      </c>
    </row>
    <row r="486" spans="1:15" x14ac:dyDescent="0.2">
      <c r="A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 cm="1">
        <f t="array" ref="O486">IF(ISBLANK(E486),0,IFERROR(ROUND(INDEX(E$1:E485,MAX(IF(E$1:E485&lt;&gt;"",ROW(E$1:E485))))+C486-D486-E486,2),0))</f>
        <v>0</v>
      </c>
    </row>
    <row r="487" spans="1:15" x14ac:dyDescent="0.2">
      <c r="A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 cm="1">
        <f t="array" ref="O487">IF(ISBLANK(E487),0,IFERROR(ROUND(INDEX(E$1:E486,MAX(IF(E$1:E486&lt;&gt;"",ROW(E$1:E486))))+C487-D487-E487,2),0))</f>
        <v>0</v>
      </c>
    </row>
    <row r="488" spans="1:15" x14ac:dyDescent="0.2">
      <c r="A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 cm="1">
        <f t="array" ref="O488">IF(ISBLANK(E488),0,IFERROR(ROUND(INDEX(E$1:E487,MAX(IF(E$1:E487&lt;&gt;"",ROW(E$1:E487))))+C488-D488-E488,2),0))</f>
        <v>0</v>
      </c>
    </row>
    <row r="489" spans="1:15" x14ac:dyDescent="0.2">
      <c r="A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 cm="1">
        <f t="array" ref="O489">IF(ISBLANK(E489),0,IFERROR(ROUND(INDEX(E$1:E488,MAX(IF(E$1:E488&lt;&gt;"",ROW(E$1:E488))))+C489-D489-E489,2),0))</f>
        <v>0</v>
      </c>
    </row>
    <row r="490" spans="1:15" x14ac:dyDescent="0.2">
      <c r="A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 cm="1">
        <f t="array" ref="O490">IF(ISBLANK(E490),0,IFERROR(ROUND(INDEX(E$1:E489,MAX(IF(E$1:E489&lt;&gt;"",ROW(E$1:E489))))+C490-D490-E490,2),0))</f>
        <v>0</v>
      </c>
    </row>
    <row r="491" spans="1:15" x14ac:dyDescent="0.2">
      <c r="A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 cm="1">
        <f t="array" ref="O491">IF(ISBLANK(E491),0,IFERROR(ROUND(INDEX(E$1:E490,MAX(IF(E$1:E490&lt;&gt;"",ROW(E$1:E490))))+C491-D491-E491,2),0))</f>
        <v>0</v>
      </c>
    </row>
    <row r="492" spans="1:15" x14ac:dyDescent="0.2">
      <c r="A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 cm="1">
        <f t="array" ref="O492">IF(ISBLANK(E492),0,IFERROR(ROUND(INDEX(E$1:E491,MAX(IF(E$1:E491&lt;&gt;"",ROW(E$1:E491))))+C492-D492-E492,2),0))</f>
        <v>0</v>
      </c>
    </row>
    <row r="493" spans="1:15" x14ac:dyDescent="0.2">
      <c r="A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 cm="1">
        <f t="array" ref="O493">IF(ISBLANK(E493),0,IFERROR(ROUND(INDEX(E$1:E492,MAX(IF(E$1:E492&lt;&gt;"",ROW(E$1:E492))))+C493-D493-E493,2),0))</f>
        <v>0</v>
      </c>
    </row>
    <row r="494" spans="1:15" x14ac:dyDescent="0.2">
      <c r="A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 cm="1">
        <f t="array" ref="O494">IF(ISBLANK(E494),0,IFERROR(ROUND(INDEX(E$1:E493,MAX(IF(E$1:E493&lt;&gt;"",ROW(E$1:E493))))+C494-D494-E494,2),0))</f>
        <v>0</v>
      </c>
    </row>
    <row r="495" spans="1:15" x14ac:dyDescent="0.2">
      <c r="A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 cm="1">
        <f t="array" ref="O495">IF(ISBLANK(E495),0,IFERROR(ROUND(INDEX(E$1:E494,MAX(IF(E$1:E494&lt;&gt;"",ROW(E$1:E494))))+C495-D495-E495,2),0))</f>
        <v>0</v>
      </c>
    </row>
    <row r="496" spans="1:15" x14ac:dyDescent="0.2">
      <c r="A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 cm="1">
        <f t="array" ref="O496">IF(ISBLANK(E496),0,IFERROR(ROUND(INDEX(E$1:E495,MAX(IF(E$1:E495&lt;&gt;"",ROW(E$1:E495))))+C496-D496-E496,2),0))</f>
        <v>0</v>
      </c>
    </row>
    <row r="497" spans="1:15" x14ac:dyDescent="0.2">
      <c r="A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 cm="1">
        <f t="array" ref="O497">IF(ISBLANK(E497),0,IFERROR(ROUND(INDEX(E$1:E496,MAX(IF(E$1:E496&lt;&gt;"",ROW(E$1:E496))))+C497-D497-E497,2),0))</f>
        <v>0</v>
      </c>
    </row>
    <row r="498" spans="1:15" x14ac:dyDescent="0.2">
      <c r="A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 cm="1">
        <f t="array" ref="O498">IF(ISBLANK(E498),0,IFERROR(ROUND(INDEX(E$1:E497,MAX(IF(E$1:E497&lt;&gt;"",ROW(E$1:E497))))+C498-D498-E498,2),0))</f>
        <v>0</v>
      </c>
    </row>
    <row r="499" spans="1:15" x14ac:dyDescent="0.2">
      <c r="A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 cm="1">
        <f t="array" ref="O499">IF(ISBLANK(E499),0,IFERROR(ROUND(INDEX(E$1:E498,MAX(IF(E$1:E498&lt;&gt;"",ROW(E$1:E498))))+C499-D499-E499,2),0))</f>
        <v>0</v>
      </c>
    </row>
    <row r="500" spans="1:15" x14ac:dyDescent="0.2">
      <c r="A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 cm="1">
        <f t="array" ref="O500">IF(ISBLANK(E500),0,IFERROR(ROUND(INDEX(E$1:E499,MAX(IF(E$1:E499&lt;&gt;"",ROW(E$1:E499))))+C500-D500-E500,2),0))</f>
        <v>0</v>
      </c>
    </row>
    <row r="501" spans="1:15" x14ac:dyDescent="0.2">
      <c r="A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 cm="1">
        <f t="array" ref="O501">IF(ISBLANK(E501),0,IFERROR(ROUND(INDEX(E$1:E500,MAX(IF(E$1:E500&lt;&gt;"",ROW(E$1:E500))))+C501-D501-E501,2),0))</f>
        <v>0</v>
      </c>
    </row>
    <row r="502" spans="1:15" x14ac:dyDescent="0.2">
      <c r="A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 cm="1">
        <f t="array" ref="O502">IF(ISBLANK(E502),0,IFERROR(ROUND(INDEX(E$1:E501,MAX(IF(E$1:E501&lt;&gt;"",ROW(E$1:E501))))+C502-D502-E502,2),0))</f>
        <v>0</v>
      </c>
    </row>
    <row r="503" spans="1:15" x14ac:dyDescent="0.2">
      <c r="A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 cm="1">
        <f t="array" ref="O503">IF(ISBLANK(E503),0,IFERROR(ROUND(INDEX(E$1:E502,MAX(IF(E$1:E502&lt;&gt;"",ROW(E$1:E502))))+C503-D503-E503,2),0))</f>
        <v>0</v>
      </c>
    </row>
    <row r="504" spans="1:15" x14ac:dyDescent="0.2">
      <c r="A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 cm="1">
        <f t="array" ref="O504">IF(ISBLANK(E504),0,IFERROR(ROUND(INDEX(E$1:E503,MAX(IF(E$1:E503&lt;&gt;"",ROW(E$1:E503))))+C504-D504-E504,2),0))</f>
        <v>0</v>
      </c>
    </row>
    <row r="505" spans="1:15" x14ac:dyDescent="0.2">
      <c r="A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 cm="1">
        <f t="array" ref="O505">IF(ISBLANK(E505),0,IFERROR(ROUND(INDEX(E$1:E504,MAX(IF(E$1:E504&lt;&gt;"",ROW(E$1:E504))))+C505-D505-E505,2),0))</f>
        <v>0</v>
      </c>
    </row>
    <row r="506" spans="1:15" x14ac:dyDescent="0.2">
      <c r="A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 cm="1">
        <f t="array" ref="O506">IF(ISBLANK(E506),0,IFERROR(ROUND(INDEX(E$1:E505,MAX(IF(E$1:E505&lt;&gt;"",ROW(E$1:E505))))+C506-D506-E506,2),0))</f>
        <v>0</v>
      </c>
    </row>
    <row r="507" spans="1:15" x14ac:dyDescent="0.2">
      <c r="A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 cm="1">
        <f t="array" ref="O507">IF(ISBLANK(E507),0,IFERROR(ROUND(INDEX(E$1:E506,MAX(IF(E$1:E506&lt;&gt;"",ROW(E$1:E506))))+C507-D507-E507,2),0))</f>
        <v>0</v>
      </c>
    </row>
    <row r="508" spans="1:15" x14ac:dyDescent="0.2">
      <c r="A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 cm="1">
        <f t="array" ref="O508">IF(ISBLANK(E508),0,IFERROR(ROUND(INDEX(E$1:E507,MAX(IF(E$1:E507&lt;&gt;"",ROW(E$1:E507))))+C508-D508-E508,2),0))</f>
        <v>0</v>
      </c>
    </row>
    <row r="509" spans="1:15" x14ac:dyDescent="0.2">
      <c r="A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 cm="1">
        <f t="array" ref="O509">IF(ISBLANK(E509),0,IFERROR(ROUND(INDEX(E$1:E508,MAX(IF(E$1:E508&lt;&gt;"",ROW(E$1:E508))))+C509-D509-E509,2),0))</f>
        <v>0</v>
      </c>
    </row>
    <row r="510" spans="1:15" x14ac:dyDescent="0.2">
      <c r="A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 cm="1">
        <f t="array" ref="O510">IF(ISBLANK(E510),0,IFERROR(ROUND(INDEX(E$1:E509,MAX(IF(E$1:E509&lt;&gt;"",ROW(E$1:E509))))+C510-D510-E510,2),0))</f>
        <v>0</v>
      </c>
    </row>
    <row r="511" spans="1:15" x14ac:dyDescent="0.2">
      <c r="A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 cm="1">
        <f t="array" ref="O511">IF(ISBLANK(E511),0,IFERROR(ROUND(INDEX(E$1:E510,MAX(IF(E$1:E510&lt;&gt;"",ROW(E$1:E510))))+C511-D511-E511,2),0))</f>
        <v>0</v>
      </c>
    </row>
    <row r="512" spans="1:15" x14ac:dyDescent="0.2">
      <c r="A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 cm="1">
        <f t="array" ref="O512">IF(ISBLANK(E512),0,IFERROR(ROUND(INDEX(E$1:E511,MAX(IF(E$1:E511&lt;&gt;"",ROW(E$1:E511))))+C512-D512-E512,2),0))</f>
        <v>0</v>
      </c>
    </row>
    <row r="513" spans="1:15" x14ac:dyDescent="0.2">
      <c r="A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 cm="1">
        <f t="array" ref="O513">IF(ISBLANK(E513),0,IFERROR(ROUND(INDEX(E$1:E512,MAX(IF(E$1:E512&lt;&gt;"",ROW(E$1:E512))))+C513-D513-E513,2),0))</f>
        <v>0</v>
      </c>
    </row>
    <row r="514" spans="1:15" x14ac:dyDescent="0.2">
      <c r="A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 cm="1">
        <f t="array" ref="O514">IF(ISBLANK(E514),0,IFERROR(ROUND(INDEX(E$1:E513,MAX(IF(E$1:E513&lt;&gt;"",ROW(E$1:E513))))+C514-D514-E514,2),0))</f>
        <v>0</v>
      </c>
    </row>
    <row r="515" spans="1:15" x14ac:dyDescent="0.2">
      <c r="A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 cm="1">
        <f t="array" ref="O515">IF(ISBLANK(E515),0,IFERROR(ROUND(INDEX(E$1:E514,MAX(IF(E$1:E514&lt;&gt;"",ROW(E$1:E514))))+C515-D515-E515,2),0))</f>
        <v>0</v>
      </c>
    </row>
    <row r="516" spans="1:15" x14ac:dyDescent="0.2">
      <c r="A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 cm="1">
        <f t="array" ref="O516">IF(ISBLANK(E516),0,IFERROR(ROUND(INDEX(E$1:E515,MAX(IF(E$1:E515&lt;&gt;"",ROW(E$1:E515))))+C516-D516-E516,2),0))</f>
        <v>0</v>
      </c>
    </row>
    <row r="517" spans="1:15" x14ac:dyDescent="0.2">
      <c r="A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 cm="1">
        <f t="array" ref="O517">IF(ISBLANK(E517),0,IFERROR(ROUND(INDEX(E$1:E516,MAX(IF(E$1:E516&lt;&gt;"",ROW(E$1:E516))))+C517-D517-E517,2),0))</f>
        <v>0</v>
      </c>
    </row>
    <row r="518" spans="1:15" x14ac:dyDescent="0.2">
      <c r="A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 cm="1">
        <f t="array" ref="O518">IF(ISBLANK(E518),0,IFERROR(ROUND(INDEX(E$1:E517,MAX(IF(E$1:E517&lt;&gt;"",ROW(E$1:E517))))+C518-D518-E518,2),0))</f>
        <v>0</v>
      </c>
    </row>
    <row r="519" spans="1:15" x14ac:dyDescent="0.2">
      <c r="A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 cm="1">
        <f t="array" ref="O519">IF(ISBLANK(E519),0,IFERROR(ROUND(INDEX(E$1:E518,MAX(IF(E$1:E518&lt;&gt;"",ROW(E$1:E518))))+C519-D519-E519,2),0))</f>
        <v>0</v>
      </c>
    </row>
    <row r="520" spans="1:15" x14ac:dyDescent="0.2">
      <c r="A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 cm="1">
        <f t="array" ref="O520">IF(ISBLANK(E520),0,IFERROR(ROUND(INDEX(E$1:E519,MAX(IF(E$1:E519&lt;&gt;"",ROW(E$1:E519))))+C520-D520-E520,2),0))</f>
        <v>0</v>
      </c>
    </row>
    <row r="521" spans="1:15" x14ac:dyDescent="0.2">
      <c r="A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 cm="1">
        <f t="array" ref="O521">IF(ISBLANK(E521),0,IFERROR(ROUND(INDEX(E$1:E520,MAX(IF(E$1:E520&lt;&gt;"",ROW(E$1:E520))))+C521-D521-E521,2),0))</f>
        <v>0</v>
      </c>
    </row>
    <row r="522" spans="1:15" x14ac:dyDescent="0.2">
      <c r="A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 cm="1">
        <f t="array" ref="O522">IF(ISBLANK(E522),0,IFERROR(ROUND(INDEX(E$1:E521,MAX(IF(E$1:E521&lt;&gt;"",ROW(E$1:E521))))+C522-D522-E522,2),0))</f>
        <v>0</v>
      </c>
    </row>
    <row r="523" spans="1:15" x14ac:dyDescent="0.2">
      <c r="A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 cm="1">
        <f t="array" ref="O523">IF(ISBLANK(E523),0,IFERROR(ROUND(INDEX(E$1:E522,MAX(IF(E$1:E522&lt;&gt;"",ROW(E$1:E522))))+C523-D523-E523,2),0))</f>
        <v>0</v>
      </c>
    </row>
    <row r="524" spans="1:15" x14ac:dyDescent="0.2">
      <c r="A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 cm="1">
        <f t="array" ref="O524">IF(ISBLANK(E524),0,IFERROR(ROUND(INDEX(E$1:E523,MAX(IF(E$1:E523&lt;&gt;"",ROW(E$1:E523))))+C524-D524-E524,2),0))</f>
        <v>0</v>
      </c>
    </row>
    <row r="525" spans="1:15" x14ac:dyDescent="0.2">
      <c r="A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 cm="1">
        <f t="array" ref="O525">IF(ISBLANK(E525),0,IFERROR(ROUND(INDEX(E$1:E524,MAX(IF(E$1:E524&lt;&gt;"",ROW(E$1:E524))))+C525-D525-E525,2),0))</f>
        <v>0</v>
      </c>
    </row>
    <row r="526" spans="1:15" x14ac:dyDescent="0.2">
      <c r="A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 cm="1">
        <f t="array" ref="O526">IF(ISBLANK(E526),0,IFERROR(ROUND(INDEX(E$1:E525,MAX(IF(E$1:E525&lt;&gt;"",ROW(E$1:E525))))+C526-D526-E526,2),0))</f>
        <v>0</v>
      </c>
    </row>
    <row r="527" spans="1:15" x14ac:dyDescent="0.2">
      <c r="A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 cm="1">
        <f t="array" ref="O527">IF(ISBLANK(E527),0,IFERROR(ROUND(INDEX(E$1:E526,MAX(IF(E$1:E526&lt;&gt;"",ROW(E$1:E526))))+C527-D527-E527,2),0))</f>
        <v>0</v>
      </c>
    </row>
    <row r="528" spans="1:15" x14ac:dyDescent="0.2">
      <c r="A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 cm="1">
        <f t="array" ref="O528">IF(ISBLANK(E528),0,IFERROR(ROUND(INDEX(E$1:E527,MAX(IF(E$1:E527&lt;&gt;"",ROW(E$1:E527))))+C528-D528-E528,2),0))</f>
        <v>0</v>
      </c>
    </row>
    <row r="529" spans="1:15" x14ac:dyDescent="0.2">
      <c r="A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 cm="1">
        <f t="array" ref="O529">IF(ISBLANK(E529),0,IFERROR(ROUND(INDEX(E$1:E528,MAX(IF(E$1:E528&lt;&gt;"",ROW(E$1:E528))))+C529-D529-E529,2),0))</f>
        <v>0</v>
      </c>
    </row>
    <row r="530" spans="1:15" x14ac:dyDescent="0.2">
      <c r="A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 cm="1">
        <f t="array" ref="O530">IF(ISBLANK(E530),0,IFERROR(ROUND(INDEX(E$1:E529,MAX(IF(E$1:E529&lt;&gt;"",ROW(E$1:E529))))+C530-D530-E530,2),0))</f>
        <v>0</v>
      </c>
    </row>
    <row r="531" spans="1:15" x14ac:dyDescent="0.2">
      <c r="A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 cm="1">
        <f t="array" ref="O531">IF(ISBLANK(E531),0,IFERROR(ROUND(INDEX(E$1:E530,MAX(IF(E$1:E530&lt;&gt;"",ROW(E$1:E530))))+C531-D531-E531,2),0))</f>
        <v>0</v>
      </c>
    </row>
    <row r="532" spans="1:15" x14ac:dyDescent="0.2">
      <c r="A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 cm="1">
        <f t="array" ref="O532">IF(ISBLANK(E532),0,IFERROR(ROUND(INDEX(E$1:E531,MAX(IF(E$1:E531&lt;&gt;"",ROW(E$1:E531))))+C532-D532-E532,2),0))</f>
        <v>0</v>
      </c>
    </row>
    <row r="533" spans="1:15" x14ac:dyDescent="0.2">
      <c r="A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 cm="1">
        <f t="array" ref="O533">IF(ISBLANK(E533),0,IFERROR(ROUND(INDEX(E$1:E532,MAX(IF(E$1:E532&lt;&gt;"",ROW(E$1:E532))))+C533-D533-E533,2),0))</f>
        <v>0</v>
      </c>
    </row>
    <row r="534" spans="1:15" x14ac:dyDescent="0.2">
      <c r="A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 cm="1">
        <f t="array" ref="O534">IF(ISBLANK(E534),0,IFERROR(ROUND(INDEX(E$1:E533,MAX(IF(E$1:E533&lt;&gt;"",ROW(E$1:E533))))+C534-D534-E534,2),0))</f>
        <v>0</v>
      </c>
    </row>
    <row r="535" spans="1:15" x14ac:dyDescent="0.2">
      <c r="A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 cm="1">
        <f t="array" ref="O535">IF(ISBLANK(E535),0,IFERROR(ROUND(INDEX(E$1:E534,MAX(IF(E$1:E534&lt;&gt;"",ROW(E$1:E534))))+C535-D535-E535,2),0))</f>
        <v>0</v>
      </c>
    </row>
    <row r="536" spans="1:15" x14ac:dyDescent="0.2">
      <c r="A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 cm="1">
        <f t="array" ref="O536">IF(ISBLANK(E536),0,IFERROR(ROUND(INDEX(E$1:E535,MAX(IF(E$1:E535&lt;&gt;"",ROW(E$1:E535))))+C536-D536-E536,2),0))</f>
        <v>0</v>
      </c>
    </row>
    <row r="537" spans="1:15" x14ac:dyDescent="0.2">
      <c r="A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 cm="1">
        <f t="array" ref="O537">IF(ISBLANK(E537),0,IFERROR(ROUND(INDEX(E$1:E536,MAX(IF(E$1:E536&lt;&gt;"",ROW(E$1:E536))))+C537-D537-E537,2),0))</f>
        <v>0</v>
      </c>
    </row>
    <row r="538" spans="1:15" x14ac:dyDescent="0.2">
      <c r="A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 cm="1">
        <f t="array" ref="O538">IF(ISBLANK(E538),0,IFERROR(ROUND(INDEX(E$1:E537,MAX(IF(E$1:E537&lt;&gt;"",ROW(E$1:E537))))+C538-D538-E538,2),0))</f>
        <v>0</v>
      </c>
    </row>
    <row r="539" spans="1:15" x14ac:dyDescent="0.2">
      <c r="A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 cm="1">
        <f t="array" ref="O539">IF(ISBLANK(E539),0,IFERROR(ROUND(INDEX(E$1:E538,MAX(IF(E$1:E538&lt;&gt;"",ROW(E$1:E538))))+C539-D539-E539,2),0))</f>
        <v>0</v>
      </c>
    </row>
    <row r="540" spans="1:15" x14ac:dyDescent="0.2">
      <c r="A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 cm="1">
        <f t="array" ref="O540">IF(ISBLANK(E540),0,IFERROR(ROUND(INDEX(E$1:E539,MAX(IF(E$1:E539&lt;&gt;"",ROW(E$1:E539))))+C540-D540-E540,2),0))</f>
        <v>0</v>
      </c>
    </row>
    <row r="541" spans="1:15" x14ac:dyDescent="0.2">
      <c r="A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 cm="1">
        <f t="array" ref="O541">IF(ISBLANK(E541),0,IFERROR(ROUND(INDEX(E$1:E540,MAX(IF(E$1:E540&lt;&gt;"",ROW(E$1:E540))))+C541-D541-E541,2),0))</f>
        <v>0</v>
      </c>
    </row>
    <row r="542" spans="1:15" x14ac:dyDescent="0.2">
      <c r="A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 cm="1">
        <f t="array" ref="O542">IF(ISBLANK(E542),0,IFERROR(ROUND(INDEX(E$1:E541,MAX(IF(E$1:E541&lt;&gt;"",ROW(E$1:E541))))+C542-D542-E542,2),0))</f>
        <v>0</v>
      </c>
    </row>
    <row r="543" spans="1:15" x14ac:dyDescent="0.2">
      <c r="A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 cm="1">
        <f t="array" ref="O543">IF(ISBLANK(E543),0,IFERROR(ROUND(INDEX(E$1:E542,MAX(IF(E$1:E542&lt;&gt;"",ROW(E$1:E542))))+C543-D543-E543,2),0))</f>
        <v>0</v>
      </c>
    </row>
    <row r="544" spans="1:15" x14ac:dyDescent="0.2">
      <c r="A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 cm="1">
        <f t="array" ref="O544">IF(ISBLANK(E544),0,IFERROR(ROUND(INDEX(E$1:E543,MAX(IF(E$1:E543&lt;&gt;"",ROW(E$1:E543))))+C544-D544-E544,2),0))</f>
        <v>0</v>
      </c>
    </row>
    <row r="545" spans="1:15" x14ac:dyDescent="0.2">
      <c r="A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 cm="1">
        <f t="array" ref="O545">IF(ISBLANK(E545),0,IFERROR(ROUND(INDEX(E$1:E544,MAX(IF(E$1:E544&lt;&gt;"",ROW(E$1:E544))))+C545-D545-E545,2),0))</f>
        <v>0</v>
      </c>
    </row>
    <row r="546" spans="1:15" x14ac:dyDescent="0.2">
      <c r="A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 cm="1">
        <f t="array" ref="O546">IF(ISBLANK(E546),0,IFERROR(ROUND(INDEX(E$1:E545,MAX(IF(E$1:E545&lt;&gt;"",ROW(E$1:E545))))+C546-D546-E546,2),0))</f>
        <v>0</v>
      </c>
    </row>
    <row r="547" spans="1:15" x14ac:dyDescent="0.2">
      <c r="A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 cm="1">
        <f t="array" ref="O547">IF(ISBLANK(E547),0,IFERROR(ROUND(INDEX(E$1:E546,MAX(IF(E$1:E546&lt;&gt;"",ROW(E$1:E546))))+C547-D547-E547,2),0))</f>
        <v>0</v>
      </c>
    </row>
    <row r="548" spans="1:15" x14ac:dyDescent="0.2">
      <c r="A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 cm="1">
        <f t="array" ref="O548">IF(ISBLANK(E548),0,IFERROR(ROUND(INDEX(E$1:E547,MAX(IF(E$1:E547&lt;&gt;"",ROW(E$1:E547))))+C548-D548-E548,2),0))</f>
        <v>0</v>
      </c>
    </row>
    <row r="549" spans="1:15" x14ac:dyDescent="0.2">
      <c r="A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 cm="1">
        <f t="array" ref="O549">IF(ISBLANK(E549),0,IFERROR(ROUND(INDEX(E$1:E548,MAX(IF(E$1:E548&lt;&gt;"",ROW(E$1:E548))))+C549-D549-E549,2),0))</f>
        <v>0</v>
      </c>
    </row>
    <row r="550" spans="1:15" x14ac:dyDescent="0.2">
      <c r="A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 cm="1">
        <f t="array" ref="O550">IF(ISBLANK(E550),0,IFERROR(ROUND(INDEX(E$1:E549,MAX(IF(E$1:E549&lt;&gt;"",ROW(E$1:E549))))+C550-D550-E550,2),0))</f>
        <v>0</v>
      </c>
    </row>
    <row r="551" spans="1:15" x14ac:dyDescent="0.2">
      <c r="A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 cm="1">
        <f t="array" ref="O551">IF(ISBLANK(E551),0,IFERROR(ROUND(INDEX(E$1:E550,MAX(IF(E$1:E550&lt;&gt;"",ROW(E$1:E550))))+C551-D551-E551,2),0))</f>
        <v>0</v>
      </c>
    </row>
    <row r="552" spans="1:15" x14ac:dyDescent="0.2">
      <c r="A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 cm="1">
        <f t="array" ref="O552">IF(ISBLANK(E552),0,IFERROR(ROUND(INDEX(E$1:E551,MAX(IF(E$1:E551&lt;&gt;"",ROW(E$1:E551))))+C552-D552-E552,2),0))</f>
        <v>0</v>
      </c>
    </row>
    <row r="553" spans="1:15" x14ac:dyDescent="0.2">
      <c r="A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 cm="1">
        <f t="array" ref="O553">IF(ISBLANK(E553),0,IFERROR(ROUND(INDEX(E$1:E552,MAX(IF(E$1:E552&lt;&gt;"",ROW(E$1:E552))))+C553-D553-E553,2),0))</f>
        <v>0</v>
      </c>
    </row>
    <row r="554" spans="1:15" x14ac:dyDescent="0.2">
      <c r="A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 cm="1">
        <f t="array" ref="O554">IF(ISBLANK(E554),0,IFERROR(ROUND(INDEX(E$1:E553,MAX(IF(E$1:E553&lt;&gt;"",ROW(E$1:E553))))+C554-D554-E554,2),0))</f>
        <v>0</v>
      </c>
    </row>
    <row r="555" spans="1:15" x14ac:dyDescent="0.2">
      <c r="A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 cm="1">
        <f t="array" ref="O555">IF(ISBLANK(E555),0,IFERROR(ROUND(INDEX(E$1:E554,MAX(IF(E$1:E554&lt;&gt;"",ROW(E$1:E554))))+C555-D555-E555,2),0))</f>
        <v>0</v>
      </c>
    </row>
    <row r="556" spans="1:15" x14ac:dyDescent="0.2">
      <c r="A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 cm="1">
        <f t="array" ref="O556">IF(ISBLANK(E556),0,IFERROR(ROUND(INDEX(E$1:E555,MAX(IF(E$1:E555&lt;&gt;"",ROW(E$1:E555))))+C556-D556-E556,2),0))</f>
        <v>0</v>
      </c>
    </row>
    <row r="557" spans="1:15" x14ac:dyDescent="0.2">
      <c r="A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 cm="1">
        <f t="array" ref="O557">IF(ISBLANK(E557),0,IFERROR(ROUND(INDEX(E$1:E556,MAX(IF(E$1:E556&lt;&gt;"",ROW(E$1:E556))))+C557-D557-E557,2),0))</f>
        <v>0</v>
      </c>
    </row>
    <row r="558" spans="1:15" x14ac:dyDescent="0.2">
      <c r="A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 cm="1">
        <f t="array" ref="O558">IF(ISBLANK(E558),0,IFERROR(ROUND(INDEX(E$1:E557,MAX(IF(E$1:E557&lt;&gt;"",ROW(E$1:E557))))+C558-D558-E558,2),0))</f>
        <v>0</v>
      </c>
    </row>
    <row r="559" spans="1:15" x14ac:dyDescent="0.2">
      <c r="A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 cm="1">
        <f t="array" ref="O559">IF(ISBLANK(E559),0,IFERROR(ROUND(INDEX(E$1:E558,MAX(IF(E$1:E558&lt;&gt;"",ROW(E$1:E558))))+C559-D559-E559,2),0))</f>
        <v>0</v>
      </c>
    </row>
    <row r="560" spans="1:15" x14ac:dyDescent="0.2">
      <c r="A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 cm="1">
        <f t="array" ref="O560">IF(ISBLANK(E560),0,IFERROR(ROUND(INDEX(E$1:E559,MAX(IF(E$1:E559&lt;&gt;"",ROW(E$1:E559))))+C560-D560-E560,2),0))</f>
        <v>0</v>
      </c>
    </row>
    <row r="561" spans="1:15" x14ac:dyDescent="0.2">
      <c r="A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 cm="1">
        <f t="array" ref="O561">IF(ISBLANK(E561),0,IFERROR(ROUND(INDEX(E$1:E560,MAX(IF(E$1:E560&lt;&gt;"",ROW(E$1:E560))))+C561-D561-E561,2),0))</f>
        <v>0</v>
      </c>
    </row>
    <row r="562" spans="1:15" x14ac:dyDescent="0.2">
      <c r="A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 cm="1">
        <f t="array" ref="O562">IF(ISBLANK(E562),0,IFERROR(ROUND(INDEX(E$1:E561,MAX(IF(E$1:E561&lt;&gt;"",ROW(E$1:E561))))+C562-D562-E562,2),0))</f>
        <v>0</v>
      </c>
    </row>
    <row r="563" spans="1:15" x14ac:dyDescent="0.2">
      <c r="A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 cm="1">
        <f t="array" ref="O563">IF(ISBLANK(E563),0,IFERROR(ROUND(INDEX(E$1:E562,MAX(IF(E$1:E562&lt;&gt;"",ROW(E$1:E562))))+C563-D563-E563,2),0))</f>
        <v>0</v>
      </c>
    </row>
    <row r="564" spans="1:15" x14ac:dyDescent="0.2">
      <c r="A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 cm="1">
        <f t="array" ref="O564">IF(ISBLANK(E564),0,IFERROR(ROUND(INDEX(E$1:E563,MAX(IF(E$1:E563&lt;&gt;"",ROW(E$1:E563))))+C564-D564-E564,2),0))</f>
        <v>0</v>
      </c>
    </row>
    <row r="565" spans="1:15" x14ac:dyDescent="0.2">
      <c r="A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 cm="1">
        <f t="array" ref="O565">IF(ISBLANK(E565),0,IFERROR(ROUND(INDEX(E$1:E564,MAX(IF(E$1:E564&lt;&gt;"",ROW(E$1:E564))))+C565-D565-E565,2),0))</f>
        <v>0</v>
      </c>
    </row>
    <row r="566" spans="1:15" x14ac:dyDescent="0.2">
      <c r="A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 cm="1">
        <f t="array" ref="O566">IF(ISBLANK(E566),0,IFERROR(ROUND(INDEX(E$1:E565,MAX(IF(E$1:E565&lt;&gt;"",ROW(E$1:E565))))+C566-D566-E566,2),0))</f>
        <v>0</v>
      </c>
    </row>
    <row r="567" spans="1:15" x14ac:dyDescent="0.2">
      <c r="A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 cm="1">
        <f t="array" ref="O567">IF(ISBLANK(E567),0,IFERROR(ROUND(INDEX(E$1:E566,MAX(IF(E$1:E566&lt;&gt;"",ROW(E$1:E566))))+C567-D567-E567,2),0))</f>
        <v>0</v>
      </c>
    </row>
    <row r="568" spans="1:15" x14ac:dyDescent="0.2">
      <c r="A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 cm="1">
        <f t="array" ref="O568">IF(ISBLANK(E568),0,IFERROR(ROUND(INDEX(E$1:E567,MAX(IF(E$1:E567&lt;&gt;"",ROW(E$1:E567))))+C568-D568-E568,2),0))</f>
        <v>0</v>
      </c>
    </row>
    <row r="569" spans="1:15" x14ac:dyDescent="0.2">
      <c r="A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 cm="1">
        <f t="array" ref="O569">IF(ISBLANK(E569),0,IFERROR(ROUND(INDEX(E$1:E568,MAX(IF(E$1:E568&lt;&gt;"",ROW(E$1:E568))))+C569-D569-E569,2),0))</f>
        <v>0</v>
      </c>
    </row>
    <row r="570" spans="1:15" x14ac:dyDescent="0.2">
      <c r="A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 cm="1">
        <f t="array" ref="O570">IF(ISBLANK(E570),0,IFERROR(ROUND(INDEX(E$1:E569,MAX(IF(E$1:E569&lt;&gt;"",ROW(E$1:E569))))+C570-D570-E570,2),0))</f>
        <v>0</v>
      </c>
    </row>
    <row r="571" spans="1:15" x14ac:dyDescent="0.2">
      <c r="A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 cm="1">
        <f t="array" ref="O571">IF(ISBLANK(E571),0,IFERROR(ROUND(INDEX(E$1:E570,MAX(IF(E$1:E570&lt;&gt;"",ROW(E$1:E570))))+C571-D571-E571,2),0))</f>
        <v>0</v>
      </c>
    </row>
    <row r="572" spans="1:15" x14ac:dyDescent="0.2">
      <c r="A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 cm="1">
        <f t="array" ref="O572">IF(ISBLANK(E572),0,IFERROR(ROUND(INDEX(E$1:E571,MAX(IF(E$1:E571&lt;&gt;"",ROW(E$1:E571))))+C572-D572-E572,2),0))</f>
        <v>0</v>
      </c>
    </row>
    <row r="573" spans="1:15" x14ac:dyDescent="0.2">
      <c r="A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 cm="1">
        <f t="array" ref="O573">IF(ISBLANK(E573),0,IFERROR(ROUND(INDEX(E$1:E572,MAX(IF(E$1:E572&lt;&gt;"",ROW(E$1:E572))))+C573-D573-E573,2),0))</f>
        <v>0</v>
      </c>
    </row>
    <row r="574" spans="1:15" x14ac:dyDescent="0.2">
      <c r="A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 cm="1">
        <f t="array" ref="O574">IF(ISBLANK(E574),0,IFERROR(ROUND(INDEX(E$1:E573,MAX(IF(E$1:E573&lt;&gt;"",ROW(E$1:E573))))+C574-D574-E574,2),0))</f>
        <v>0</v>
      </c>
    </row>
    <row r="575" spans="1:15" x14ac:dyDescent="0.2">
      <c r="A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 cm="1">
        <f t="array" ref="O575">IF(ISBLANK(E575),0,IFERROR(ROUND(INDEX(E$1:E574,MAX(IF(E$1:E574&lt;&gt;"",ROW(E$1:E574))))+C575-D575-E575,2),0))</f>
        <v>0</v>
      </c>
    </row>
    <row r="576" spans="1:15" x14ac:dyDescent="0.2">
      <c r="A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 cm="1">
        <f t="array" ref="O576">IF(ISBLANK(E576),0,IFERROR(ROUND(INDEX(E$1:E575,MAX(IF(E$1:E575&lt;&gt;"",ROW(E$1:E575))))+C576-D576-E576,2),0))</f>
        <v>0</v>
      </c>
    </row>
    <row r="577" spans="1:15" x14ac:dyDescent="0.2">
      <c r="A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 cm="1">
        <f t="array" ref="O577">IF(ISBLANK(E577),0,IFERROR(ROUND(INDEX(E$1:E576,MAX(IF(E$1:E576&lt;&gt;"",ROW(E$1:E576))))+C577-D577-E577,2),0))</f>
        <v>0</v>
      </c>
    </row>
    <row r="578" spans="1:15" x14ac:dyDescent="0.2">
      <c r="A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 cm="1">
        <f t="array" ref="O578">IF(ISBLANK(E578),0,IFERROR(ROUND(INDEX(E$1:E577,MAX(IF(E$1:E577&lt;&gt;"",ROW(E$1:E577))))+C578-D578-E578,2),0))</f>
        <v>0</v>
      </c>
    </row>
    <row r="579" spans="1:15" x14ac:dyDescent="0.2">
      <c r="A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 cm="1">
        <f t="array" ref="O579">IF(ISBLANK(E579),0,IFERROR(ROUND(INDEX(E$1:E578,MAX(IF(E$1:E578&lt;&gt;"",ROW(E$1:E578))))+C579-D579-E579,2),0))</f>
        <v>0</v>
      </c>
    </row>
    <row r="580" spans="1:15" x14ac:dyDescent="0.2">
      <c r="A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 cm="1">
        <f t="array" ref="O580">IF(ISBLANK(E580),0,IFERROR(ROUND(INDEX(E$1:E579,MAX(IF(E$1:E579&lt;&gt;"",ROW(E$1:E579))))+C580-D580-E580,2),0))</f>
        <v>0</v>
      </c>
    </row>
    <row r="581" spans="1:15" x14ac:dyDescent="0.2">
      <c r="A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 cm="1">
        <f t="array" ref="O581">IF(ISBLANK(E581),0,IFERROR(ROUND(INDEX(E$1:E580,MAX(IF(E$1:E580&lt;&gt;"",ROW(E$1:E580))))+C581-D581-E581,2),0))</f>
        <v>0</v>
      </c>
    </row>
    <row r="582" spans="1:15" x14ac:dyDescent="0.2">
      <c r="A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 cm="1">
        <f t="array" ref="O582">IF(ISBLANK(E582),0,IFERROR(ROUND(INDEX(E$1:E581,MAX(IF(E$1:E581&lt;&gt;"",ROW(E$1:E581))))+C582-D582-E582,2),0))</f>
        <v>0</v>
      </c>
    </row>
    <row r="583" spans="1:15" x14ac:dyDescent="0.2">
      <c r="A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 cm="1">
        <f t="array" ref="O583">IF(ISBLANK(E583),0,IFERROR(ROUND(INDEX(E$1:E582,MAX(IF(E$1:E582&lt;&gt;"",ROW(E$1:E582))))+C583-D583-E583,2),0))</f>
        <v>0</v>
      </c>
    </row>
    <row r="584" spans="1:15" x14ac:dyDescent="0.2">
      <c r="A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 cm="1">
        <f t="array" ref="O584">IF(ISBLANK(E584),0,IFERROR(ROUND(INDEX(E$1:E583,MAX(IF(E$1:E583&lt;&gt;"",ROW(E$1:E583))))+C584-D584-E584,2),0))</f>
        <v>0</v>
      </c>
    </row>
    <row r="585" spans="1:15" x14ac:dyDescent="0.2">
      <c r="A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 cm="1">
        <f t="array" ref="O585">IF(ISBLANK(E585),0,IFERROR(ROUND(INDEX(E$1:E584,MAX(IF(E$1:E584&lt;&gt;"",ROW(E$1:E584))))+C585-D585-E585,2),0))</f>
        <v>0</v>
      </c>
    </row>
    <row r="586" spans="1:15" x14ac:dyDescent="0.2">
      <c r="A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 cm="1">
        <f t="array" ref="O586">IF(ISBLANK(E586),0,IFERROR(ROUND(INDEX(E$1:E585,MAX(IF(E$1:E585&lt;&gt;"",ROW(E$1:E585))))+C586-D586-E586,2),0))</f>
        <v>0</v>
      </c>
    </row>
    <row r="587" spans="1:15" x14ac:dyDescent="0.2">
      <c r="A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 cm="1">
        <f t="array" ref="O587">IF(ISBLANK(E587),0,IFERROR(ROUND(INDEX(E$1:E586,MAX(IF(E$1:E586&lt;&gt;"",ROW(E$1:E586))))+C587-D587-E587,2),0))</f>
        <v>0</v>
      </c>
    </row>
    <row r="588" spans="1:15" x14ac:dyDescent="0.2">
      <c r="A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 cm="1">
        <f t="array" ref="O588">IF(ISBLANK(E588),0,IFERROR(ROUND(INDEX(E$1:E587,MAX(IF(E$1:E587&lt;&gt;"",ROW(E$1:E587))))+C588-D588-E588,2),0))</f>
        <v>0</v>
      </c>
    </row>
    <row r="589" spans="1:15" x14ac:dyDescent="0.2">
      <c r="A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 cm="1">
        <f t="array" ref="O589">IF(ISBLANK(E589),0,IFERROR(ROUND(INDEX(E$1:E588,MAX(IF(E$1:E588&lt;&gt;"",ROW(E$1:E588))))+C589-D589-E589,2),0))</f>
        <v>0</v>
      </c>
    </row>
    <row r="590" spans="1:15" x14ac:dyDescent="0.2">
      <c r="A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 cm="1">
        <f t="array" ref="O590">IF(ISBLANK(E590),0,IFERROR(ROUND(INDEX(E$1:E589,MAX(IF(E$1:E589&lt;&gt;"",ROW(E$1:E589))))+C590-D590-E590,2),0))</f>
        <v>0</v>
      </c>
    </row>
    <row r="591" spans="1:15" x14ac:dyDescent="0.2">
      <c r="A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 cm="1">
        <f t="array" ref="O591">IF(ISBLANK(E591),0,IFERROR(ROUND(INDEX(E$1:E590,MAX(IF(E$1:E590&lt;&gt;"",ROW(E$1:E590))))+C591-D591-E591,2),0))</f>
        <v>0</v>
      </c>
    </row>
    <row r="592" spans="1:15" x14ac:dyDescent="0.2">
      <c r="A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 cm="1">
        <f t="array" ref="O592">IF(ISBLANK(E592),0,IFERROR(ROUND(INDEX(E$1:E591,MAX(IF(E$1:E591&lt;&gt;"",ROW(E$1:E591))))+C592-D592-E592,2),0))</f>
        <v>0</v>
      </c>
    </row>
    <row r="593" spans="1:15" x14ac:dyDescent="0.2">
      <c r="A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 cm="1">
        <f t="array" ref="O593">IF(ISBLANK(E593),0,IFERROR(ROUND(INDEX(E$1:E592,MAX(IF(E$1:E592&lt;&gt;"",ROW(E$1:E592))))+C593-D593-E593,2),0))</f>
        <v>0</v>
      </c>
    </row>
    <row r="594" spans="1:15" x14ac:dyDescent="0.2">
      <c r="A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 cm="1">
        <f t="array" ref="O594">IF(ISBLANK(E594),0,IFERROR(ROUND(INDEX(E$1:E593,MAX(IF(E$1:E593&lt;&gt;"",ROW(E$1:E593))))+C594-D594-E594,2),0))</f>
        <v>0</v>
      </c>
    </row>
    <row r="595" spans="1:15" x14ac:dyDescent="0.2">
      <c r="A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 cm="1">
        <f t="array" ref="O595">IF(ISBLANK(E595),0,IFERROR(ROUND(INDEX(E$1:E594,MAX(IF(E$1:E594&lt;&gt;"",ROW(E$1:E594))))+C595-D595-E595,2),0))</f>
        <v>0</v>
      </c>
    </row>
    <row r="596" spans="1:15" x14ac:dyDescent="0.2">
      <c r="A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 cm="1">
        <f t="array" ref="O596">IF(ISBLANK(E596),0,IFERROR(ROUND(INDEX(E$1:E595,MAX(IF(E$1:E595&lt;&gt;"",ROW(E$1:E595))))+C596-D596-E596,2),0))</f>
        <v>0</v>
      </c>
    </row>
    <row r="597" spans="1:15" x14ac:dyDescent="0.2">
      <c r="A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 cm="1">
        <f t="array" ref="O597">IF(ISBLANK(E597),0,IFERROR(ROUND(INDEX(E$1:E596,MAX(IF(E$1:E596&lt;&gt;"",ROW(E$1:E596))))+C597-D597-E597,2),0))</f>
        <v>0</v>
      </c>
    </row>
    <row r="598" spans="1:15" x14ac:dyDescent="0.2">
      <c r="A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 cm="1">
        <f t="array" ref="O598">IF(ISBLANK(E598),0,IFERROR(ROUND(INDEX(E$1:E597,MAX(IF(E$1:E597&lt;&gt;"",ROW(E$1:E597))))+C598-D598-E598,2),0))</f>
        <v>0</v>
      </c>
    </row>
    <row r="599" spans="1:15" x14ac:dyDescent="0.2">
      <c r="A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 cm="1">
        <f t="array" ref="O599">IF(ISBLANK(E599),0,IFERROR(ROUND(INDEX(E$1:E598,MAX(IF(E$1:E598&lt;&gt;"",ROW(E$1:E598))))+C599-D599-E599,2),0))</f>
        <v>0</v>
      </c>
    </row>
    <row r="600" spans="1:15" x14ac:dyDescent="0.2">
      <c r="A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 cm="1">
        <f t="array" ref="O600">IF(ISBLANK(E600),0,IFERROR(ROUND(INDEX(E$1:E599,MAX(IF(E$1:E599&lt;&gt;"",ROW(E$1:E599))))+C600-D600-E600,2),0))</f>
        <v>0</v>
      </c>
    </row>
    <row r="601" spans="1:15" x14ac:dyDescent="0.2">
      <c r="A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 cm="1">
        <f t="array" ref="O601">IF(ISBLANK(E601),0,IFERROR(ROUND(INDEX(E$1:E600,MAX(IF(E$1:E600&lt;&gt;"",ROW(E$1:E600))))+C601-D601-E601,2),0))</f>
        <v>0</v>
      </c>
    </row>
    <row r="602" spans="1:15" x14ac:dyDescent="0.2">
      <c r="A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 cm="1">
        <f t="array" ref="O602">IF(ISBLANK(E602),0,IFERROR(ROUND(INDEX(E$1:E601,MAX(IF(E$1:E601&lt;&gt;"",ROW(E$1:E601))))+C602-D602-E602,2),0))</f>
        <v>0</v>
      </c>
    </row>
    <row r="603" spans="1:15" x14ac:dyDescent="0.2">
      <c r="A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 cm="1">
        <f t="array" ref="O603">IF(ISBLANK(E603),0,IFERROR(ROUND(INDEX(E$1:E602,MAX(IF(E$1:E602&lt;&gt;"",ROW(E$1:E602))))+C603-D603-E603,2),0))</f>
        <v>0</v>
      </c>
    </row>
    <row r="604" spans="1:15" x14ac:dyDescent="0.2">
      <c r="A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 cm="1">
        <f t="array" ref="O604">IF(ISBLANK(E604),0,IFERROR(ROUND(INDEX(E$1:E603,MAX(IF(E$1:E603&lt;&gt;"",ROW(E$1:E603))))+C604-D604-E604,2),0))</f>
        <v>0</v>
      </c>
    </row>
    <row r="605" spans="1:15" x14ac:dyDescent="0.2">
      <c r="A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 cm="1">
        <f t="array" ref="O605">IF(ISBLANK(E605),0,IFERROR(ROUND(INDEX(E$1:E604,MAX(IF(E$1:E604&lt;&gt;"",ROW(E$1:E604))))+C605-D605-E605,2),0))</f>
        <v>0</v>
      </c>
    </row>
    <row r="606" spans="1:15" x14ac:dyDescent="0.2">
      <c r="A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 cm="1">
        <f t="array" ref="O606">IF(ISBLANK(E606),0,IFERROR(ROUND(INDEX(E$1:E605,MAX(IF(E$1:E605&lt;&gt;"",ROW(E$1:E605))))+C606-D606-E606,2),0))</f>
        <v>0</v>
      </c>
    </row>
    <row r="607" spans="1:15" x14ac:dyDescent="0.2">
      <c r="A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 cm="1">
        <f t="array" ref="O607">IF(ISBLANK(E607),0,IFERROR(ROUND(INDEX(E$1:E606,MAX(IF(E$1:E606&lt;&gt;"",ROW(E$1:E606))))+C607-D607-E607,2),0))</f>
        <v>0</v>
      </c>
    </row>
    <row r="608" spans="1:15" x14ac:dyDescent="0.2">
      <c r="A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 cm="1">
        <f t="array" ref="O608">IF(ISBLANK(E608),0,IFERROR(ROUND(INDEX(E$1:E607,MAX(IF(E$1:E607&lt;&gt;"",ROW(E$1:E607))))+C608-D608-E608,2),0))</f>
        <v>0</v>
      </c>
    </row>
    <row r="609" spans="1:15" x14ac:dyDescent="0.2">
      <c r="A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 cm="1">
        <f t="array" ref="O609">IF(ISBLANK(E609),0,IFERROR(ROUND(INDEX(E$1:E608,MAX(IF(E$1:E608&lt;&gt;"",ROW(E$1:E608))))+C609-D609-E609,2),0))</f>
        <v>0</v>
      </c>
    </row>
    <row r="610" spans="1:15" x14ac:dyDescent="0.2">
      <c r="A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 cm="1">
        <f t="array" ref="O610">IF(ISBLANK(E610),0,IFERROR(ROUND(INDEX(E$1:E609,MAX(IF(E$1:E609&lt;&gt;"",ROW(E$1:E609))))+C610-D610-E610,2),0))</f>
        <v>0</v>
      </c>
    </row>
    <row r="611" spans="1:15" x14ac:dyDescent="0.2">
      <c r="A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 cm="1">
        <f t="array" ref="O611">IF(ISBLANK(E611),0,IFERROR(ROUND(INDEX(E$1:E610,MAX(IF(E$1:E610&lt;&gt;"",ROW(E$1:E610))))+C611-D611-E611,2),0))</f>
        <v>0</v>
      </c>
    </row>
    <row r="612" spans="1:15" x14ac:dyDescent="0.2">
      <c r="A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 cm="1">
        <f t="array" ref="O612">IF(ISBLANK(E612),0,IFERROR(ROUND(INDEX(E$1:E611,MAX(IF(E$1:E611&lt;&gt;"",ROW(E$1:E611))))+C612-D612-E612,2),0))</f>
        <v>0</v>
      </c>
    </row>
    <row r="613" spans="1:15" x14ac:dyDescent="0.2">
      <c r="A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 cm="1">
        <f t="array" ref="O613">IF(ISBLANK(E613),0,IFERROR(ROUND(INDEX(E$1:E612,MAX(IF(E$1:E612&lt;&gt;"",ROW(E$1:E612))))+C613-D613-E613,2),0))</f>
        <v>0</v>
      </c>
    </row>
    <row r="614" spans="1:15" x14ac:dyDescent="0.2">
      <c r="A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 cm="1">
        <f t="array" ref="O614">IF(ISBLANK(E614),0,IFERROR(ROUND(INDEX(E$1:E613,MAX(IF(E$1:E613&lt;&gt;"",ROW(E$1:E613))))+C614-D614-E614,2),0))</f>
        <v>0</v>
      </c>
    </row>
    <row r="615" spans="1:15" x14ac:dyDescent="0.2">
      <c r="A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 cm="1">
        <f t="array" ref="O615">IF(ISBLANK(E615),0,IFERROR(ROUND(INDEX(E$1:E614,MAX(IF(E$1:E614&lt;&gt;"",ROW(E$1:E614))))+C615-D615-E615,2),0))</f>
        <v>0</v>
      </c>
    </row>
    <row r="616" spans="1:15" x14ac:dyDescent="0.2">
      <c r="A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 cm="1">
        <f t="array" ref="O616">IF(ISBLANK(E616),0,IFERROR(ROUND(INDEX(E$1:E615,MAX(IF(E$1:E615&lt;&gt;"",ROW(E$1:E615))))+C616-D616-E616,2),0))</f>
        <v>0</v>
      </c>
    </row>
    <row r="617" spans="1:15" x14ac:dyDescent="0.2">
      <c r="A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 cm="1">
        <f t="array" ref="O617">IF(ISBLANK(E617),0,IFERROR(ROUND(INDEX(E$1:E616,MAX(IF(E$1:E616&lt;&gt;"",ROW(E$1:E616))))+C617-D617-E617,2),0))</f>
        <v>0</v>
      </c>
    </row>
    <row r="618" spans="1:15" x14ac:dyDescent="0.2">
      <c r="A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 cm="1">
        <f t="array" ref="O618">IF(ISBLANK(E618),0,IFERROR(ROUND(INDEX(E$1:E617,MAX(IF(E$1:E617&lt;&gt;"",ROW(E$1:E617))))+C618-D618-E618,2),0))</f>
        <v>0</v>
      </c>
    </row>
    <row r="619" spans="1:15" x14ac:dyDescent="0.2">
      <c r="A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 cm="1">
        <f t="array" ref="O619">IF(ISBLANK(E619),0,IFERROR(ROUND(INDEX(E$1:E618,MAX(IF(E$1:E618&lt;&gt;"",ROW(E$1:E618))))+C619-D619-E619,2),0))</f>
        <v>0</v>
      </c>
    </row>
    <row r="620" spans="1:15" x14ac:dyDescent="0.2">
      <c r="A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 cm="1">
        <f t="array" ref="O620">IF(ISBLANK(E620),0,IFERROR(ROUND(INDEX(E$1:E619,MAX(IF(E$1:E619&lt;&gt;"",ROW(E$1:E619))))+C620-D620-E620,2),0))</f>
        <v>0</v>
      </c>
    </row>
    <row r="621" spans="1:15" x14ac:dyDescent="0.2">
      <c r="A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 cm="1">
        <f t="array" ref="O621">IF(ISBLANK(E621),0,IFERROR(ROUND(INDEX(E$1:E620,MAX(IF(E$1:E620&lt;&gt;"",ROW(E$1:E620))))+C621-D621-E621,2),0))</f>
        <v>0</v>
      </c>
    </row>
    <row r="622" spans="1:15" x14ac:dyDescent="0.2">
      <c r="A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 cm="1">
        <f t="array" ref="O622">IF(ISBLANK(E622),0,IFERROR(ROUND(INDEX(E$1:E621,MAX(IF(E$1:E621&lt;&gt;"",ROW(E$1:E621))))+C622-D622-E622,2),0))</f>
        <v>0</v>
      </c>
    </row>
    <row r="623" spans="1:15" x14ac:dyDescent="0.2">
      <c r="A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 cm="1">
        <f t="array" ref="O623">IF(ISBLANK(E623),0,IFERROR(ROUND(INDEX(E$1:E622,MAX(IF(E$1:E622&lt;&gt;"",ROW(E$1:E622))))+C623-D623-E623,2),0))</f>
        <v>0</v>
      </c>
    </row>
    <row r="624" spans="1:15" x14ac:dyDescent="0.2">
      <c r="A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 cm="1">
        <f t="array" ref="O624">IF(ISBLANK(E624),0,IFERROR(ROUND(INDEX(E$1:E623,MAX(IF(E$1:E623&lt;&gt;"",ROW(E$1:E623))))+C624-D624-E624,2),0))</f>
        <v>0</v>
      </c>
    </row>
    <row r="625" spans="1:15" x14ac:dyDescent="0.2">
      <c r="A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 cm="1">
        <f t="array" ref="O625">IF(ISBLANK(E625),0,IFERROR(ROUND(INDEX(E$1:E624,MAX(IF(E$1:E624&lt;&gt;"",ROW(E$1:E624))))+C625-D625-E625,2),0))</f>
        <v>0</v>
      </c>
    </row>
    <row r="626" spans="1:15" x14ac:dyDescent="0.2">
      <c r="A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 cm="1">
        <f t="array" ref="O626">IF(ISBLANK(E626),0,IFERROR(ROUND(INDEX(E$1:E625,MAX(IF(E$1:E625&lt;&gt;"",ROW(E$1:E625))))+C626-D626-E626,2),0))</f>
        <v>0</v>
      </c>
    </row>
    <row r="627" spans="1:15" x14ac:dyDescent="0.2">
      <c r="A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 cm="1">
        <f t="array" ref="O627">IF(ISBLANK(E627),0,IFERROR(ROUND(INDEX(E$1:E626,MAX(IF(E$1:E626&lt;&gt;"",ROW(E$1:E626))))+C627-D627-E627,2),0))</f>
        <v>0</v>
      </c>
    </row>
    <row r="628" spans="1:15" x14ac:dyDescent="0.2">
      <c r="A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 cm="1">
        <f t="array" ref="O628">IF(ISBLANK(E628),0,IFERROR(ROUND(INDEX(E$1:E627,MAX(IF(E$1:E627&lt;&gt;"",ROW(E$1:E627))))+C628-D628-E628,2),0))</f>
        <v>0</v>
      </c>
    </row>
    <row r="629" spans="1:15" x14ac:dyDescent="0.2">
      <c r="A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 cm="1">
        <f t="array" ref="O629">IF(ISBLANK(E629),0,IFERROR(ROUND(INDEX(E$1:E628,MAX(IF(E$1:E628&lt;&gt;"",ROW(E$1:E628))))+C629-D629-E629,2),0))</f>
        <v>0</v>
      </c>
    </row>
    <row r="630" spans="1:15" x14ac:dyDescent="0.2">
      <c r="A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 cm="1">
        <f t="array" ref="O630">IF(ISBLANK(E630),0,IFERROR(ROUND(INDEX(E$1:E629,MAX(IF(E$1:E629&lt;&gt;"",ROW(E$1:E629))))+C630-D630-E630,2),0))</f>
        <v>0</v>
      </c>
    </row>
    <row r="631" spans="1:15" x14ac:dyDescent="0.2">
      <c r="A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 cm="1">
        <f t="array" ref="O631">IF(ISBLANK(E631),0,IFERROR(ROUND(INDEX(E$1:E630,MAX(IF(E$1:E630&lt;&gt;"",ROW(E$1:E630))))+C631-D631-E631,2),0))</f>
        <v>0</v>
      </c>
    </row>
    <row r="632" spans="1:15" x14ac:dyDescent="0.2">
      <c r="A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 cm="1">
        <f t="array" ref="O632">IF(ISBLANK(E632),0,IFERROR(ROUND(INDEX(E$1:E631,MAX(IF(E$1:E631&lt;&gt;"",ROW(E$1:E631))))+C632-D632-E632,2),0))</f>
        <v>0</v>
      </c>
    </row>
    <row r="633" spans="1:15" x14ac:dyDescent="0.2">
      <c r="A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 cm="1">
        <f t="array" ref="O633">IF(ISBLANK(E633),0,IFERROR(ROUND(INDEX(E$1:E632,MAX(IF(E$1:E632&lt;&gt;"",ROW(E$1:E632))))+C633-D633-E633,2),0))</f>
        <v>0</v>
      </c>
    </row>
    <row r="634" spans="1:15" x14ac:dyDescent="0.2">
      <c r="A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 cm="1">
        <f t="array" ref="O634">IF(ISBLANK(E634),0,IFERROR(ROUND(INDEX(E$1:E633,MAX(IF(E$1:E633&lt;&gt;"",ROW(E$1:E633))))+C634-D634-E634,2),0))</f>
        <v>0</v>
      </c>
    </row>
    <row r="635" spans="1:15" x14ac:dyDescent="0.2">
      <c r="A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 cm="1">
        <f t="array" ref="O635">IF(ISBLANK(E635),0,IFERROR(ROUND(INDEX(E$1:E634,MAX(IF(E$1:E634&lt;&gt;"",ROW(E$1:E634))))+C635-D635-E635,2),0))</f>
        <v>0</v>
      </c>
    </row>
    <row r="636" spans="1:15" x14ac:dyDescent="0.2">
      <c r="A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 cm="1">
        <f t="array" ref="O636">IF(ISBLANK(E636),0,IFERROR(ROUND(INDEX(E$1:E635,MAX(IF(E$1:E635&lt;&gt;"",ROW(E$1:E635))))+C636-D636-E636,2),0))</f>
        <v>0</v>
      </c>
    </row>
    <row r="637" spans="1:15" x14ac:dyDescent="0.2">
      <c r="A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 cm="1">
        <f t="array" ref="O637">IF(ISBLANK(E637),0,IFERROR(ROUND(INDEX(E$1:E636,MAX(IF(E$1:E636&lt;&gt;"",ROW(E$1:E636))))+C637-D637-E637,2),0))</f>
        <v>0</v>
      </c>
    </row>
    <row r="638" spans="1:15" x14ac:dyDescent="0.2">
      <c r="A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 cm="1">
        <f t="array" ref="O638">IF(ISBLANK(E638),0,IFERROR(ROUND(INDEX(E$1:E637,MAX(IF(E$1:E637&lt;&gt;"",ROW(E$1:E637))))+C638-D638-E638,2),0))</f>
        <v>0</v>
      </c>
    </row>
    <row r="639" spans="1:15" x14ac:dyDescent="0.2">
      <c r="A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 cm="1">
        <f t="array" ref="O639">IF(ISBLANK(E639),0,IFERROR(ROUND(INDEX(E$1:E638,MAX(IF(E$1:E638&lt;&gt;"",ROW(E$1:E638))))+C639-D639-E639,2),0))</f>
        <v>0</v>
      </c>
    </row>
    <row r="640" spans="1:15" x14ac:dyDescent="0.2">
      <c r="A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 cm="1">
        <f t="array" ref="O640">IF(ISBLANK(E640),0,IFERROR(ROUND(INDEX(E$1:E639,MAX(IF(E$1:E639&lt;&gt;"",ROW(E$1:E639))))+C640-D640-E640,2),0))</f>
        <v>0</v>
      </c>
    </row>
    <row r="641" spans="1:15" x14ac:dyDescent="0.2">
      <c r="A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 cm="1">
        <f t="array" ref="O641">IF(ISBLANK(E641),0,IFERROR(ROUND(INDEX(E$1:E640,MAX(IF(E$1:E640&lt;&gt;"",ROW(E$1:E640))))+C641-D641-E641,2),0))</f>
        <v>0</v>
      </c>
    </row>
    <row r="642" spans="1:15" x14ac:dyDescent="0.2">
      <c r="A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 cm="1">
        <f t="array" ref="O642">IF(ISBLANK(E642),0,IFERROR(ROUND(INDEX(E$1:E641,MAX(IF(E$1:E641&lt;&gt;"",ROW(E$1:E641))))+C642-D642-E642,2),0))</f>
        <v>0</v>
      </c>
    </row>
    <row r="643" spans="1:15" x14ac:dyDescent="0.2">
      <c r="A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 cm="1">
        <f t="array" ref="O643">IF(ISBLANK(E643),0,IFERROR(ROUND(INDEX(E$1:E642,MAX(IF(E$1:E642&lt;&gt;"",ROW(E$1:E642))))+C643-D643-E643,2),0))</f>
        <v>0</v>
      </c>
    </row>
    <row r="644" spans="1:15" x14ac:dyDescent="0.2">
      <c r="A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 cm="1">
        <f t="array" ref="O644">IF(ISBLANK(E644),0,IFERROR(ROUND(INDEX(E$1:E643,MAX(IF(E$1:E643&lt;&gt;"",ROW(E$1:E643))))+C644-D644-E644,2),0))</f>
        <v>0</v>
      </c>
    </row>
    <row r="645" spans="1:15" x14ac:dyDescent="0.2">
      <c r="A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 cm="1">
        <f t="array" ref="O645">IF(ISBLANK(E645),0,IFERROR(ROUND(INDEX(E$1:E644,MAX(IF(E$1:E644&lt;&gt;"",ROW(E$1:E644))))+C645-D645-E645,2),0))</f>
        <v>0</v>
      </c>
    </row>
    <row r="646" spans="1:15" x14ac:dyDescent="0.2">
      <c r="A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 cm="1">
        <f t="array" ref="O646">IF(ISBLANK(E646),0,IFERROR(ROUND(INDEX(E$1:E645,MAX(IF(E$1:E645&lt;&gt;"",ROW(E$1:E645))))+C646-D646-E646,2),0))</f>
        <v>0</v>
      </c>
    </row>
    <row r="647" spans="1:15" x14ac:dyDescent="0.2">
      <c r="A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 cm="1">
        <f t="array" ref="O647">IF(ISBLANK(E647),0,IFERROR(ROUND(INDEX(E$1:E646,MAX(IF(E$1:E646&lt;&gt;"",ROW(E$1:E646))))+C647-D647-E647,2),0))</f>
        <v>0</v>
      </c>
    </row>
    <row r="648" spans="1:15" x14ac:dyDescent="0.2">
      <c r="A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 cm="1">
        <f t="array" ref="O648">IF(ISBLANK(E648),0,IFERROR(ROUND(INDEX(E$1:E647,MAX(IF(E$1:E647&lt;&gt;"",ROW(E$1:E647))))+C648-D648-E648,2),0))</f>
        <v>0</v>
      </c>
    </row>
    <row r="649" spans="1:15" x14ac:dyDescent="0.2">
      <c r="A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 cm="1">
        <f t="array" ref="O649">IF(ISBLANK(E649),0,IFERROR(ROUND(INDEX(E$1:E648,MAX(IF(E$1:E648&lt;&gt;"",ROW(E$1:E648))))+C649-D649-E649,2),0))</f>
        <v>0</v>
      </c>
    </row>
    <row r="650" spans="1:15" x14ac:dyDescent="0.2">
      <c r="A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 cm="1">
        <f t="array" ref="O650">IF(ISBLANK(E650),0,IFERROR(ROUND(INDEX(E$1:E649,MAX(IF(E$1:E649&lt;&gt;"",ROW(E$1:E649))))+C650-D650-E650,2),0))</f>
        <v>0</v>
      </c>
    </row>
    <row r="651" spans="1:15" x14ac:dyDescent="0.2">
      <c r="A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 cm="1">
        <f t="array" ref="O651">IF(ISBLANK(E651),0,IFERROR(ROUND(INDEX(E$1:E650,MAX(IF(E$1:E650&lt;&gt;"",ROW(E$1:E650))))+C651-D651-E651,2),0))</f>
        <v>0</v>
      </c>
    </row>
    <row r="652" spans="1:15" x14ac:dyDescent="0.2">
      <c r="A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 cm="1">
        <f t="array" ref="O652">IF(ISBLANK(E652),0,IFERROR(ROUND(INDEX(E$1:E651,MAX(IF(E$1:E651&lt;&gt;"",ROW(E$1:E651))))+C652-D652-E652,2),0))</f>
        <v>0</v>
      </c>
    </row>
    <row r="653" spans="1:15" x14ac:dyDescent="0.2">
      <c r="A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 cm="1">
        <f t="array" ref="O653">IF(ISBLANK(E653),0,IFERROR(ROUND(INDEX(E$1:E652,MAX(IF(E$1:E652&lt;&gt;"",ROW(E$1:E652))))+C653-D653-E653,2),0))</f>
        <v>0</v>
      </c>
    </row>
    <row r="654" spans="1:15" x14ac:dyDescent="0.2">
      <c r="A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 cm="1">
        <f t="array" ref="O654">IF(ISBLANK(E654),0,IFERROR(ROUND(INDEX(E$1:E653,MAX(IF(E$1:E653&lt;&gt;"",ROW(E$1:E653))))+C654-D654-E654,2),0))</f>
        <v>0</v>
      </c>
    </row>
    <row r="655" spans="1:15" x14ac:dyDescent="0.2">
      <c r="A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 cm="1">
        <f t="array" ref="O655">IF(ISBLANK(E655),0,IFERROR(ROUND(INDEX(E$1:E654,MAX(IF(E$1:E654&lt;&gt;"",ROW(E$1:E654))))+C655-D655-E655,2),0))</f>
        <v>0</v>
      </c>
    </row>
    <row r="656" spans="1:15" x14ac:dyDescent="0.2">
      <c r="A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 cm="1">
        <f t="array" ref="O656">IF(ISBLANK(E656),0,IFERROR(ROUND(INDEX(E$1:E655,MAX(IF(E$1:E655&lt;&gt;"",ROW(E$1:E655))))+C656-D656-E656,2),0))</f>
        <v>0</v>
      </c>
    </row>
    <row r="657" spans="1:15" x14ac:dyDescent="0.2">
      <c r="A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 cm="1">
        <f t="array" ref="O657">IF(ISBLANK(E657),0,IFERROR(ROUND(INDEX(E$1:E656,MAX(IF(E$1:E656&lt;&gt;"",ROW(E$1:E656))))+C657-D657-E657,2),0))</f>
        <v>0</v>
      </c>
    </row>
    <row r="658" spans="1:15" x14ac:dyDescent="0.2">
      <c r="A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 cm="1">
        <f t="array" ref="O658">IF(ISBLANK(E658),0,IFERROR(ROUND(INDEX(E$1:E657,MAX(IF(E$1:E657&lt;&gt;"",ROW(E$1:E657))))+C658-D658-E658,2),0))</f>
        <v>0</v>
      </c>
    </row>
    <row r="659" spans="1:15" x14ac:dyDescent="0.2">
      <c r="A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 cm="1">
        <f t="array" ref="O659">IF(ISBLANK(E659),0,IFERROR(ROUND(INDEX(E$1:E658,MAX(IF(E$1:E658&lt;&gt;"",ROW(E$1:E658))))+C659-D659-E659,2),0))</f>
        <v>0</v>
      </c>
    </row>
    <row r="660" spans="1:15" x14ac:dyDescent="0.2">
      <c r="A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 cm="1">
        <f t="array" ref="O660">IF(ISBLANK(E660),0,IFERROR(ROUND(INDEX(E$1:E659,MAX(IF(E$1:E659&lt;&gt;"",ROW(E$1:E659))))+C660-D660-E660,2),0))</f>
        <v>0</v>
      </c>
    </row>
    <row r="661" spans="1:15" x14ac:dyDescent="0.2">
      <c r="A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 cm="1">
        <f t="array" ref="O661">IF(ISBLANK(E661),0,IFERROR(ROUND(INDEX(E$1:E660,MAX(IF(E$1:E660&lt;&gt;"",ROW(E$1:E660))))+C661-D661-E661,2),0))</f>
        <v>0</v>
      </c>
    </row>
    <row r="662" spans="1:15" x14ac:dyDescent="0.2">
      <c r="A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 cm="1">
        <f t="array" ref="O662">IF(ISBLANK(E662),0,IFERROR(ROUND(INDEX(E$1:E661,MAX(IF(E$1:E661&lt;&gt;"",ROW(E$1:E661))))+C662-D662-E662,2),0))</f>
        <v>0</v>
      </c>
    </row>
    <row r="663" spans="1:15" x14ac:dyDescent="0.2">
      <c r="A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 cm="1">
        <f t="array" ref="O663">IF(ISBLANK(E663),0,IFERROR(ROUND(INDEX(E$1:E662,MAX(IF(E$1:E662&lt;&gt;"",ROW(E$1:E662))))+C663-D663-E663,2),0))</f>
        <v>0</v>
      </c>
    </row>
    <row r="664" spans="1:15" x14ac:dyDescent="0.2">
      <c r="A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 cm="1">
        <f t="array" ref="O664">IF(ISBLANK(E664),0,IFERROR(ROUND(INDEX(E$1:E663,MAX(IF(E$1:E663&lt;&gt;"",ROW(E$1:E663))))+C664-D664-E664,2),0))</f>
        <v>0</v>
      </c>
    </row>
    <row r="665" spans="1:15" x14ac:dyDescent="0.2">
      <c r="A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 cm="1">
        <f t="array" ref="O665">IF(ISBLANK(E665),0,IFERROR(ROUND(INDEX(E$1:E664,MAX(IF(E$1:E664&lt;&gt;"",ROW(E$1:E664))))+C665-D665-E665,2),0))</f>
        <v>0</v>
      </c>
    </row>
    <row r="666" spans="1:15" x14ac:dyDescent="0.2">
      <c r="A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 cm="1">
        <f t="array" ref="O666">IF(ISBLANK(E666),0,IFERROR(ROUND(INDEX(E$1:E665,MAX(IF(E$1:E665&lt;&gt;"",ROW(E$1:E665))))+C666-D666-E666,2),0))</f>
        <v>0</v>
      </c>
    </row>
    <row r="667" spans="1:15" x14ac:dyDescent="0.2">
      <c r="A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 cm="1">
        <f t="array" ref="O667">IF(ISBLANK(E667),0,IFERROR(ROUND(INDEX(E$1:E666,MAX(IF(E$1:E666&lt;&gt;"",ROW(E$1:E666))))+C667-D667-E667,2),0))</f>
        <v>0</v>
      </c>
    </row>
    <row r="668" spans="1:15" x14ac:dyDescent="0.2">
      <c r="A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 cm="1">
        <f t="array" ref="O668">IF(ISBLANK(E668),0,IFERROR(ROUND(INDEX(E$1:E667,MAX(IF(E$1:E667&lt;&gt;"",ROW(E$1:E667))))+C668-D668-E668,2),0))</f>
        <v>0</v>
      </c>
    </row>
    <row r="669" spans="1:15" x14ac:dyDescent="0.2">
      <c r="A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 cm="1">
        <f t="array" ref="O669">IF(ISBLANK(E669),0,IFERROR(ROUND(INDEX(E$1:E668,MAX(IF(E$1:E668&lt;&gt;"",ROW(E$1:E668))))+C669-D669-E669,2),0))</f>
        <v>0</v>
      </c>
    </row>
    <row r="670" spans="1:15" x14ac:dyDescent="0.2">
      <c r="A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 cm="1">
        <f t="array" ref="O670">IF(ISBLANK(E670),0,IFERROR(ROUND(INDEX(E$1:E669,MAX(IF(E$1:E669&lt;&gt;"",ROW(E$1:E669))))+C670-D670-E670,2),0))</f>
        <v>0</v>
      </c>
    </row>
    <row r="671" spans="1:15" x14ac:dyDescent="0.2">
      <c r="A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 cm="1">
        <f t="array" ref="O671">IF(ISBLANK(E671),0,IFERROR(ROUND(INDEX(E$1:E670,MAX(IF(E$1:E670&lt;&gt;"",ROW(E$1:E670))))+C671-D671-E671,2),0))</f>
        <v>0</v>
      </c>
    </row>
    <row r="672" spans="1:15" x14ac:dyDescent="0.2">
      <c r="A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 cm="1">
        <f t="array" ref="O672">IF(ISBLANK(E672),0,IFERROR(ROUND(INDEX(E$1:E671,MAX(IF(E$1:E671&lt;&gt;"",ROW(E$1:E671))))+C672-D672-E672,2),0))</f>
        <v>0</v>
      </c>
    </row>
    <row r="673" spans="1:15" x14ac:dyDescent="0.2">
      <c r="A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 cm="1">
        <f t="array" ref="O673">IF(ISBLANK(E673),0,IFERROR(ROUND(INDEX(E$1:E672,MAX(IF(E$1:E672&lt;&gt;"",ROW(E$1:E672))))+C673-D673-E673,2),0))</f>
        <v>0</v>
      </c>
    </row>
    <row r="674" spans="1:15" x14ac:dyDescent="0.2">
      <c r="A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 cm="1">
        <f t="array" ref="O674">IF(ISBLANK(E674),0,IFERROR(ROUND(INDEX(E$1:E673,MAX(IF(E$1:E673&lt;&gt;"",ROW(E$1:E673))))+C674-D674-E674,2),0))</f>
        <v>0</v>
      </c>
    </row>
    <row r="675" spans="1:15" x14ac:dyDescent="0.2">
      <c r="A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 cm="1">
        <f t="array" ref="O675">IF(ISBLANK(E675),0,IFERROR(ROUND(INDEX(E$1:E674,MAX(IF(E$1:E674&lt;&gt;"",ROW(E$1:E674))))+C675-D675-E675,2),0))</f>
        <v>0</v>
      </c>
    </row>
    <row r="676" spans="1:15" x14ac:dyDescent="0.2">
      <c r="A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 cm="1">
        <f t="array" ref="O676">IF(ISBLANK(E676),0,IFERROR(ROUND(INDEX(E$1:E675,MAX(IF(E$1:E675&lt;&gt;"",ROW(E$1:E675))))+C676-D676-E676,2),0))</f>
        <v>0</v>
      </c>
    </row>
    <row r="677" spans="1:15" x14ac:dyDescent="0.2">
      <c r="A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 cm="1">
        <f t="array" ref="O677">IF(ISBLANK(E677),0,IFERROR(ROUND(INDEX(E$1:E676,MAX(IF(E$1:E676&lt;&gt;"",ROW(E$1:E676))))+C677-D677-E677,2),0))</f>
        <v>0</v>
      </c>
    </row>
    <row r="678" spans="1:15" x14ac:dyDescent="0.2">
      <c r="A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 cm="1">
        <f t="array" ref="O678">IF(ISBLANK(E678),0,IFERROR(ROUND(INDEX(E$1:E677,MAX(IF(E$1:E677&lt;&gt;"",ROW(E$1:E677))))+C678-D678-E678,2),0))</f>
        <v>0</v>
      </c>
    </row>
    <row r="679" spans="1:15" x14ac:dyDescent="0.2">
      <c r="A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 cm="1">
        <f t="array" ref="O679">IF(ISBLANK(E679),0,IFERROR(ROUND(INDEX(E$1:E678,MAX(IF(E$1:E678&lt;&gt;"",ROW(E$1:E678))))+C679-D679-E679,2),0))</f>
        <v>0</v>
      </c>
    </row>
    <row r="680" spans="1:15" x14ac:dyDescent="0.2">
      <c r="A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 cm="1">
        <f t="array" ref="O680">IF(ISBLANK(E680),0,IFERROR(ROUND(INDEX(E$1:E679,MAX(IF(E$1:E679&lt;&gt;"",ROW(E$1:E679))))+C680-D680-E680,2),0))</f>
        <v>0</v>
      </c>
    </row>
    <row r="681" spans="1:15" x14ac:dyDescent="0.2">
      <c r="A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 cm="1">
        <f t="array" ref="O681">IF(ISBLANK(E681),0,IFERROR(ROUND(INDEX(E$1:E680,MAX(IF(E$1:E680&lt;&gt;"",ROW(E$1:E680))))+C681-D681-E681,2),0))</f>
        <v>0</v>
      </c>
    </row>
    <row r="682" spans="1:15" x14ac:dyDescent="0.2">
      <c r="A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 cm="1">
        <f t="array" ref="O682">IF(ISBLANK(E682),0,IFERROR(ROUND(INDEX(E$1:E681,MAX(IF(E$1:E681&lt;&gt;"",ROW(E$1:E681))))+C682-D682-E682,2),0))</f>
        <v>0</v>
      </c>
    </row>
    <row r="683" spans="1:15" x14ac:dyDescent="0.2">
      <c r="A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 cm="1">
        <f t="array" ref="O683">IF(ISBLANK(E683),0,IFERROR(ROUND(INDEX(E$1:E682,MAX(IF(E$1:E682&lt;&gt;"",ROW(E$1:E682))))+C683-D683-E683,2),0))</f>
        <v>0</v>
      </c>
    </row>
    <row r="684" spans="1:15" x14ac:dyDescent="0.2">
      <c r="A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 cm="1">
        <f t="array" ref="O684">IF(ISBLANK(E684),0,IFERROR(ROUND(INDEX(E$1:E683,MAX(IF(E$1:E683&lt;&gt;"",ROW(E$1:E683))))+C684-D684-E684,2),0))</f>
        <v>0</v>
      </c>
    </row>
    <row r="685" spans="1:15" x14ac:dyDescent="0.2">
      <c r="A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 cm="1">
        <f t="array" ref="O685">IF(ISBLANK(E685),0,IFERROR(ROUND(INDEX(E$1:E684,MAX(IF(E$1:E684&lt;&gt;"",ROW(E$1:E684))))+C685-D685-E685,2),0))</f>
        <v>0</v>
      </c>
    </row>
    <row r="686" spans="1:15" x14ac:dyDescent="0.2">
      <c r="A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 cm="1">
        <f t="array" ref="O686">IF(ISBLANK(E686),0,IFERROR(ROUND(INDEX(E$1:E685,MAX(IF(E$1:E685&lt;&gt;"",ROW(E$1:E685))))+C686-D686-E686,2),0))</f>
        <v>0</v>
      </c>
    </row>
    <row r="687" spans="1:15" x14ac:dyDescent="0.2">
      <c r="A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 cm="1">
        <f t="array" ref="O687">IF(ISBLANK(E687),0,IFERROR(ROUND(INDEX(E$1:E686,MAX(IF(E$1:E686&lt;&gt;"",ROW(E$1:E686))))+C687-D687-E687,2),0))</f>
        <v>0</v>
      </c>
    </row>
    <row r="688" spans="1:15" x14ac:dyDescent="0.2">
      <c r="A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 cm="1">
        <f t="array" ref="O688">IF(ISBLANK(E688),0,IFERROR(ROUND(INDEX(E$1:E687,MAX(IF(E$1:E687&lt;&gt;"",ROW(E$1:E687))))+C688-D688-E688,2),0))</f>
        <v>0</v>
      </c>
    </row>
    <row r="689" spans="1:15" x14ac:dyDescent="0.2">
      <c r="A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 cm="1">
        <f t="array" ref="O689">IF(ISBLANK(E689),0,IFERROR(ROUND(INDEX(E$1:E688,MAX(IF(E$1:E688&lt;&gt;"",ROW(E$1:E688))))+C689-D689-E689,2),0))</f>
        <v>0</v>
      </c>
    </row>
    <row r="690" spans="1:15" x14ac:dyDescent="0.2">
      <c r="A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 cm="1">
        <f t="array" ref="O690">IF(ISBLANK(E690),0,IFERROR(ROUND(INDEX(E$1:E689,MAX(IF(E$1:E689&lt;&gt;"",ROW(E$1:E689))))+C690-D690-E690,2),0))</f>
        <v>0</v>
      </c>
    </row>
    <row r="691" spans="1:15" x14ac:dyDescent="0.2">
      <c r="A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 cm="1">
        <f t="array" ref="O691">IF(ISBLANK(E691),0,IFERROR(ROUND(INDEX(E$1:E690,MAX(IF(E$1:E690&lt;&gt;"",ROW(E$1:E690))))+C691-D691-E691,2),0))</f>
        <v>0</v>
      </c>
    </row>
    <row r="692" spans="1:15" x14ac:dyDescent="0.2">
      <c r="A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 cm="1">
        <f t="array" ref="O692">IF(ISBLANK(E692),0,IFERROR(ROUND(INDEX(E$1:E691,MAX(IF(E$1:E691&lt;&gt;"",ROW(E$1:E691))))+C692-D692-E692,2),0))</f>
        <v>0</v>
      </c>
    </row>
    <row r="693" spans="1:15" x14ac:dyDescent="0.2">
      <c r="A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 cm="1">
        <f t="array" ref="O693">IF(ISBLANK(E693),0,IFERROR(ROUND(INDEX(E$1:E692,MAX(IF(E$1:E692&lt;&gt;"",ROW(E$1:E692))))+C693-D693-E693,2),0))</f>
        <v>0</v>
      </c>
    </row>
    <row r="694" spans="1:15" x14ac:dyDescent="0.2">
      <c r="A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 cm="1">
        <f t="array" ref="O694">IF(ISBLANK(E694),0,IFERROR(ROUND(INDEX(E$1:E693,MAX(IF(E$1:E693&lt;&gt;"",ROW(E$1:E693))))+C694-D694-E694,2),0))</f>
        <v>0</v>
      </c>
    </row>
    <row r="695" spans="1:15" x14ac:dyDescent="0.2">
      <c r="A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 cm="1">
        <f t="array" ref="O695">IF(ISBLANK(E695),0,IFERROR(ROUND(INDEX(E$1:E694,MAX(IF(E$1:E694&lt;&gt;"",ROW(E$1:E694))))+C695-D695-E695,2),0))</f>
        <v>0</v>
      </c>
    </row>
    <row r="696" spans="1:15" x14ac:dyDescent="0.2">
      <c r="A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 cm="1">
        <f t="array" ref="O696">IF(ISBLANK(E696),0,IFERROR(ROUND(INDEX(E$1:E695,MAX(IF(E$1:E695&lt;&gt;"",ROW(E$1:E695))))+C696-D696-E696,2),0))</f>
        <v>0</v>
      </c>
    </row>
    <row r="697" spans="1:15" x14ac:dyDescent="0.2">
      <c r="A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 cm="1">
        <f t="array" ref="O697">IF(ISBLANK(E697),0,IFERROR(ROUND(INDEX(E$1:E696,MAX(IF(E$1:E696&lt;&gt;"",ROW(E$1:E696))))+C697-D697-E697,2),0))</f>
        <v>0</v>
      </c>
    </row>
    <row r="698" spans="1:15" x14ac:dyDescent="0.2">
      <c r="A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 cm="1">
        <f t="array" ref="O698">IF(ISBLANK(E698),0,IFERROR(ROUND(INDEX(E$1:E697,MAX(IF(E$1:E697&lt;&gt;"",ROW(E$1:E697))))+C698-D698-E698,2),0))</f>
        <v>0</v>
      </c>
    </row>
    <row r="699" spans="1:15" x14ac:dyDescent="0.2">
      <c r="A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 cm="1">
        <f t="array" ref="O699">IF(ISBLANK(E699),0,IFERROR(ROUND(INDEX(E$1:E698,MAX(IF(E$1:E698&lt;&gt;"",ROW(E$1:E698))))+C699-D699-E699,2),0))</f>
        <v>0</v>
      </c>
    </row>
    <row r="700" spans="1:15" x14ac:dyDescent="0.2">
      <c r="A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 cm="1">
        <f t="array" ref="O700">IF(ISBLANK(E700),0,IFERROR(ROUND(INDEX(E$1:E699,MAX(IF(E$1:E699&lt;&gt;"",ROW(E$1:E699))))+C700-D700-E700,2),0))</f>
        <v>0</v>
      </c>
    </row>
    <row r="701" spans="1:15" x14ac:dyDescent="0.2">
      <c r="A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 cm="1">
        <f t="array" ref="O701">IF(ISBLANK(E701),0,IFERROR(ROUND(INDEX(E$1:E700,MAX(IF(E$1:E700&lt;&gt;"",ROW(E$1:E700))))+C701-D701-E701,2),0))</f>
        <v>0</v>
      </c>
    </row>
    <row r="702" spans="1:15" x14ac:dyDescent="0.2">
      <c r="A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 cm="1">
        <f t="array" ref="O702">IF(ISBLANK(E702),0,IFERROR(ROUND(INDEX(E$1:E701,MAX(IF(E$1:E701&lt;&gt;"",ROW(E$1:E701))))+C702-D702-E702,2),0))</f>
        <v>0</v>
      </c>
    </row>
    <row r="703" spans="1:15" x14ac:dyDescent="0.2">
      <c r="A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 cm="1">
        <f t="array" ref="O703">IF(ISBLANK(E703),0,IFERROR(ROUND(INDEX(E$1:E702,MAX(IF(E$1:E702&lt;&gt;"",ROW(E$1:E702))))+C703-D703-E703,2),0))</f>
        <v>0</v>
      </c>
    </row>
    <row r="704" spans="1:15" x14ac:dyDescent="0.2">
      <c r="A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 cm="1">
        <f t="array" ref="O704">IF(ISBLANK(E704),0,IFERROR(ROUND(INDEX(E$1:E703,MAX(IF(E$1:E703&lt;&gt;"",ROW(E$1:E703))))+C704-D704-E704,2),0))</f>
        <v>0</v>
      </c>
    </row>
    <row r="705" spans="1:15" x14ac:dyDescent="0.2">
      <c r="A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 cm="1">
        <f t="array" ref="O705">IF(ISBLANK(E705),0,IFERROR(ROUND(INDEX(E$1:E704,MAX(IF(E$1:E704&lt;&gt;"",ROW(E$1:E704))))+C705-D705-E705,2),0))</f>
        <v>0</v>
      </c>
    </row>
    <row r="706" spans="1:15" x14ac:dyDescent="0.2">
      <c r="A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 cm="1">
        <f t="array" ref="O706">IF(ISBLANK(E706),0,IFERROR(ROUND(INDEX(E$1:E705,MAX(IF(E$1:E705&lt;&gt;"",ROW(E$1:E705))))+C706-D706-E706,2),0))</f>
        <v>0</v>
      </c>
    </row>
    <row r="707" spans="1:15" x14ac:dyDescent="0.2">
      <c r="A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 cm="1">
        <f t="array" ref="O707">IF(ISBLANK(E707),0,IFERROR(ROUND(INDEX(E$1:E706,MAX(IF(E$1:E706&lt;&gt;"",ROW(E$1:E706))))+C707-D707-E707,2),0))</f>
        <v>0</v>
      </c>
    </row>
    <row r="708" spans="1:15" x14ac:dyDescent="0.2">
      <c r="A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 cm="1">
        <f t="array" ref="O708">IF(ISBLANK(E708),0,IFERROR(ROUND(INDEX(E$1:E707,MAX(IF(E$1:E707&lt;&gt;"",ROW(E$1:E707))))+C708-D708-E708,2),0))</f>
        <v>0</v>
      </c>
    </row>
    <row r="709" spans="1:15" x14ac:dyDescent="0.2">
      <c r="A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 cm="1">
        <f t="array" ref="O709">IF(ISBLANK(E709),0,IFERROR(ROUND(INDEX(E$1:E708,MAX(IF(E$1:E708&lt;&gt;"",ROW(E$1:E708))))+C709-D709-E709,2),0))</f>
        <v>0</v>
      </c>
    </row>
    <row r="710" spans="1:15" x14ac:dyDescent="0.2">
      <c r="A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 cm="1">
        <f t="array" ref="O710">IF(ISBLANK(E710),0,IFERROR(ROUND(INDEX(E$1:E709,MAX(IF(E$1:E709&lt;&gt;"",ROW(E$1:E709))))+C710-D710-E710,2),0))</f>
        <v>0</v>
      </c>
    </row>
    <row r="711" spans="1:15" x14ac:dyDescent="0.2">
      <c r="A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 cm="1">
        <f t="array" ref="O711">IF(ISBLANK(E711),0,IFERROR(ROUND(INDEX(E$1:E710,MAX(IF(E$1:E710&lt;&gt;"",ROW(E$1:E710))))+C711-D711-E711,2),0))</f>
        <v>0</v>
      </c>
    </row>
    <row r="712" spans="1:15" x14ac:dyDescent="0.2">
      <c r="A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 cm="1">
        <f t="array" ref="O712">IF(ISBLANK(E712),0,IFERROR(ROUND(INDEX(E$1:E711,MAX(IF(E$1:E711&lt;&gt;"",ROW(E$1:E711))))+C712-D712-E712,2),0))</f>
        <v>0</v>
      </c>
    </row>
    <row r="713" spans="1:15" x14ac:dyDescent="0.2">
      <c r="A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 cm="1">
        <f t="array" ref="O713">IF(ISBLANK(E713),0,IFERROR(ROUND(INDEX(E$1:E712,MAX(IF(E$1:E712&lt;&gt;"",ROW(E$1:E712))))+C713-D713-E713,2),0))</f>
        <v>0</v>
      </c>
    </row>
    <row r="714" spans="1:15" x14ac:dyDescent="0.2">
      <c r="A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 cm="1">
        <f t="array" ref="O714">IF(ISBLANK(E714),0,IFERROR(ROUND(INDEX(E$1:E713,MAX(IF(E$1:E713&lt;&gt;"",ROW(E$1:E713))))+C714-D714-E714,2),0))</f>
        <v>0</v>
      </c>
    </row>
    <row r="715" spans="1:15" x14ac:dyDescent="0.2">
      <c r="A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 cm="1">
        <f t="array" ref="O715">IF(ISBLANK(E715),0,IFERROR(ROUND(INDEX(E$1:E714,MAX(IF(E$1:E714&lt;&gt;"",ROW(E$1:E714))))+C715-D715-E715,2),0))</f>
        <v>0</v>
      </c>
    </row>
    <row r="716" spans="1:15" x14ac:dyDescent="0.2">
      <c r="A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 cm="1">
        <f t="array" ref="O716">IF(ISBLANK(E716),0,IFERROR(ROUND(INDEX(E$1:E715,MAX(IF(E$1:E715&lt;&gt;"",ROW(E$1:E715))))+C716-D716-E716,2),0))</f>
        <v>0</v>
      </c>
    </row>
    <row r="717" spans="1:15" x14ac:dyDescent="0.2">
      <c r="A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 cm="1">
        <f t="array" ref="O717">IF(ISBLANK(E717),0,IFERROR(ROUND(INDEX(E$1:E716,MAX(IF(E$1:E716&lt;&gt;"",ROW(E$1:E716))))+C717-D717-E717,2),0))</f>
        <v>0</v>
      </c>
    </row>
    <row r="718" spans="1:15" x14ac:dyDescent="0.2">
      <c r="A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 cm="1">
        <f t="array" ref="O718">IF(ISBLANK(E718),0,IFERROR(ROUND(INDEX(E$1:E717,MAX(IF(E$1:E717&lt;&gt;"",ROW(E$1:E717))))+C718-D718-E718,2),0))</f>
        <v>0</v>
      </c>
    </row>
    <row r="719" spans="1:15" x14ac:dyDescent="0.2">
      <c r="A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 cm="1">
        <f t="array" ref="O719">IF(ISBLANK(E719),0,IFERROR(ROUND(INDEX(E$1:E718,MAX(IF(E$1:E718&lt;&gt;"",ROW(E$1:E718))))+C719-D719-E719,2),0))</f>
        <v>0</v>
      </c>
    </row>
    <row r="720" spans="1:15" x14ac:dyDescent="0.2">
      <c r="A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 cm="1">
        <f t="array" ref="O720">IF(ISBLANK(E720),0,IFERROR(ROUND(INDEX(E$1:E719,MAX(IF(E$1:E719&lt;&gt;"",ROW(E$1:E719))))+C720-D720-E720,2),0))</f>
        <v>0</v>
      </c>
    </row>
    <row r="721" spans="1:15" x14ac:dyDescent="0.2">
      <c r="A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 cm="1">
        <f t="array" ref="O721">IF(ISBLANK(E721),0,IFERROR(ROUND(INDEX(E$1:E720,MAX(IF(E$1:E720&lt;&gt;"",ROW(E$1:E720))))+C721-D721-E721,2),0))</f>
        <v>0</v>
      </c>
    </row>
    <row r="722" spans="1:15" x14ac:dyDescent="0.2">
      <c r="A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 cm="1">
        <f t="array" ref="O722">IF(ISBLANK(E722),0,IFERROR(ROUND(INDEX(E$1:E721,MAX(IF(E$1:E721&lt;&gt;"",ROW(E$1:E721))))+C722-D722-E722,2),0))</f>
        <v>0</v>
      </c>
    </row>
    <row r="723" spans="1:15" x14ac:dyDescent="0.2">
      <c r="A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 cm="1">
        <f t="array" ref="O723">IF(ISBLANK(E723),0,IFERROR(ROUND(INDEX(E$1:E722,MAX(IF(E$1:E722&lt;&gt;"",ROW(E$1:E722))))+C723-D723-E723,2),0))</f>
        <v>0</v>
      </c>
    </row>
    <row r="724" spans="1:15" x14ac:dyDescent="0.2">
      <c r="A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 cm="1">
        <f t="array" ref="O724">IF(ISBLANK(E724),0,IFERROR(ROUND(INDEX(E$1:E723,MAX(IF(E$1:E723&lt;&gt;"",ROW(E$1:E723))))+C724-D724-E724,2),0))</f>
        <v>0</v>
      </c>
    </row>
    <row r="725" spans="1:15" x14ac:dyDescent="0.2">
      <c r="A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 cm="1">
        <f t="array" ref="O725">IF(ISBLANK(E725),0,IFERROR(ROUND(INDEX(E$1:E724,MAX(IF(E$1:E724&lt;&gt;"",ROW(E$1:E724))))+C725-D725-E725,2),0))</f>
        <v>0</v>
      </c>
    </row>
    <row r="726" spans="1:15" x14ac:dyDescent="0.2">
      <c r="A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 cm="1">
        <f t="array" ref="O726">IF(ISBLANK(E726),0,IFERROR(ROUND(INDEX(E$1:E725,MAX(IF(E$1:E725&lt;&gt;"",ROW(E$1:E725))))+C726-D726-E726,2),0))</f>
        <v>0</v>
      </c>
    </row>
    <row r="727" spans="1:15" x14ac:dyDescent="0.2">
      <c r="A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 cm="1">
        <f t="array" ref="O727">IF(ISBLANK(E727),0,IFERROR(ROUND(INDEX(E$1:E726,MAX(IF(E$1:E726&lt;&gt;"",ROW(E$1:E726))))+C727-D727-E727,2),0))</f>
        <v>0</v>
      </c>
    </row>
    <row r="728" spans="1:15" x14ac:dyDescent="0.2">
      <c r="A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 cm="1">
        <f t="array" ref="O728">IF(ISBLANK(E728),0,IFERROR(ROUND(INDEX(E$1:E727,MAX(IF(E$1:E727&lt;&gt;"",ROW(E$1:E727))))+C728-D728-E728,2),0))</f>
        <v>0</v>
      </c>
    </row>
    <row r="729" spans="1:15" x14ac:dyDescent="0.2">
      <c r="A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 cm="1">
        <f t="array" ref="O729">IF(ISBLANK(E729),0,IFERROR(ROUND(INDEX(E$1:E728,MAX(IF(E$1:E728&lt;&gt;"",ROW(E$1:E728))))+C729-D729-E729,2),0))</f>
        <v>0</v>
      </c>
    </row>
    <row r="730" spans="1:15" x14ac:dyDescent="0.2">
      <c r="A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 cm="1">
        <f t="array" ref="O730">IF(ISBLANK(E730),0,IFERROR(ROUND(INDEX(E$1:E729,MAX(IF(E$1:E729&lt;&gt;"",ROW(E$1:E729))))+C730-D730-E730,2),0))</f>
        <v>0</v>
      </c>
    </row>
    <row r="731" spans="1:15" x14ac:dyDescent="0.2">
      <c r="A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 cm="1">
        <f t="array" ref="O731">IF(ISBLANK(E731),0,IFERROR(ROUND(INDEX(E$1:E730,MAX(IF(E$1:E730&lt;&gt;"",ROW(E$1:E730))))+C731-D731-E731,2),0))</f>
        <v>0</v>
      </c>
    </row>
    <row r="732" spans="1:15" x14ac:dyDescent="0.2">
      <c r="A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 cm="1">
        <f t="array" ref="O732">IF(ISBLANK(E732),0,IFERROR(ROUND(INDEX(E$1:E731,MAX(IF(E$1:E731&lt;&gt;"",ROW(E$1:E731))))+C732-D732-E732,2),0))</f>
        <v>0</v>
      </c>
    </row>
    <row r="733" spans="1:15" x14ac:dyDescent="0.2">
      <c r="A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 cm="1">
        <f t="array" ref="O733">IF(ISBLANK(E733),0,IFERROR(ROUND(INDEX(E$1:E732,MAX(IF(E$1:E732&lt;&gt;"",ROW(E$1:E732))))+C733-D733-E733,2),0))</f>
        <v>0</v>
      </c>
    </row>
    <row r="734" spans="1:15" x14ac:dyDescent="0.2">
      <c r="A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 cm="1">
        <f t="array" ref="O734">IF(ISBLANK(E734),0,IFERROR(ROUND(INDEX(E$1:E733,MAX(IF(E$1:E733&lt;&gt;"",ROW(E$1:E733))))+C734-D734-E734,2),0))</f>
        <v>0</v>
      </c>
    </row>
    <row r="735" spans="1:15" x14ac:dyDescent="0.2">
      <c r="A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 cm="1">
        <f t="array" ref="O735">IF(ISBLANK(E735),0,IFERROR(ROUND(INDEX(E$1:E734,MAX(IF(E$1:E734&lt;&gt;"",ROW(E$1:E734))))+C735-D735-E735,2),0))</f>
        <v>0</v>
      </c>
    </row>
    <row r="736" spans="1:15" x14ac:dyDescent="0.2">
      <c r="A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 cm="1">
        <f t="array" ref="O736">IF(ISBLANK(E736),0,IFERROR(ROUND(INDEX(E$1:E735,MAX(IF(E$1:E735&lt;&gt;"",ROW(E$1:E735))))+C736-D736-E736,2),0))</f>
        <v>0</v>
      </c>
    </row>
    <row r="737" spans="1:15" x14ac:dyDescent="0.2">
      <c r="A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 cm="1">
        <f t="array" ref="O737">IF(ISBLANK(E737),0,IFERROR(ROUND(INDEX(E$1:E736,MAX(IF(E$1:E736&lt;&gt;"",ROW(E$1:E736))))+C737-D737-E737,2),0))</f>
        <v>0</v>
      </c>
    </row>
    <row r="738" spans="1:15" x14ac:dyDescent="0.2">
      <c r="A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 cm="1">
        <f t="array" ref="O738">IF(ISBLANK(E738),0,IFERROR(ROUND(INDEX(E$1:E737,MAX(IF(E$1:E737&lt;&gt;"",ROW(E$1:E737))))+C738-D738-E738,2),0))</f>
        <v>0</v>
      </c>
    </row>
    <row r="739" spans="1:15" x14ac:dyDescent="0.2">
      <c r="A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 cm="1">
        <f t="array" ref="O739">IF(ISBLANK(E739),0,IFERROR(ROUND(INDEX(E$1:E738,MAX(IF(E$1:E738&lt;&gt;"",ROW(E$1:E738))))+C739-D739-E739,2),0))</f>
        <v>0</v>
      </c>
    </row>
    <row r="740" spans="1:15" x14ac:dyDescent="0.2">
      <c r="A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 cm="1">
        <f t="array" ref="O740">IF(ISBLANK(E740),0,IFERROR(ROUND(INDEX(E$1:E739,MAX(IF(E$1:E739&lt;&gt;"",ROW(E$1:E739))))+C740-D740-E740,2),0))</f>
        <v>0</v>
      </c>
    </row>
    <row r="741" spans="1:15" x14ac:dyDescent="0.2">
      <c r="A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 cm="1">
        <f t="array" ref="O741">IF(ISBLANK(E741),0,IFERROR(ROUND(INDEX(E$1:E740,MAX(IF(E$1:E740&lt;&gt;"",ROW(E$1:E740))))+C741-D741-E741,2),0))</f>
        <v>0</v>
      </c>
    </row>
    <row r="742" spans="1:15" x14ac:dyDescent="0.2">
      <c r="A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 cm="1">
        <f t="array" ref="O742">IF(ISBLANK(E742),0,IFERROR(ROUND(INDEX(E$1:E741,MAX(IF(E$1:E741&lt;&gt;"",ROW(E$1:E741))))+C742-D742-E742,2),0))</f>
        <v>0</v>
      </c>
    </row>
    <row r="743" spans="1:15" x14ac:dyDescent="0.2">
      <c r="A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 cm="1">
        <f t="array" ref="O743">IF(ISBLANK(E743),0,IFERROR(ROUND(INDEX(E$1:E742,MAX(IF(E$1:E742&lt;&gt;"",ROW(E$1:E742))))+C743-D743-E743,2),0))</f>
        <v>0</v>
      </c>
    </row>
    <row r="744" spans="1:15" x14ac:dyDescent="0.2">
      <c r="A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 cm="1">
        <f t="array" ref="O744">IF(ISBLANK(E744),0,IFERROR(ROUND(INDEX(E$1:E743,MAX(IF(E$1:E743&lt;&gt;"",ROW(E$1:E743))))+C744-D744-E744,2),0))</f>
        <v>0</v>
      </c>
    </row>
    <row r="745" spans="1:15" x14ac:dyDescent="0.2">
      <c r="A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 cm="1">
        <f t="array" ref="O745">IF(ISBLANK(E745),0,IFERROR(ROUND(INDEX(E$1:E744,MAX(IF(E$1:E744&lt;&gt;"",ROW(E$1:E744))))+C745-D745-E745,2),0))</f>
        <v>0</v>
      </c>
    </row>
    <row r="746" spans="1:15" x14ac:dyDescent="0.2">
      <c r="A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 cm="1">
        <f t="array" ref="O746">IF(ISBLANK(E746),0,IFERROR(ROUND(INDEX(E$1:E745,MAX(IF(E$1:E745&lt;&gt;"",ROW(E$1:E745))))+C746-D746-E746,2),0))</f>
        <v>0</v>
      </c>
    </row>
    <row r="747" spans="1:15" x14ac:dyDescent="0.2">
      <c r="A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 cm="1">
        <f t="array" ref="O747">IF(ISBLANK(E747),0,IFERROR(ROUND(INDEX(E$1:E746,MAX(IF(E$1:E746&lt;&gt;"",ROW(E$1:E746))))+C747-D747-E747,2),0))</f>
        <v>0</v>
      </c>
    </row>
    <row r="748" spans="1:15" x14ac:dyDescent="0.2">
      <c r="A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 cm="1">
        <f t="array" ref="O748">IF(ISBLANK(E748),0,IFERROR(ROUND(INDEX(E$1:E747,MAX(IF(E$1:E747&lt;&gt;"",ROW(E$1:E747))))+C748-D748-E748,2),0))</f>
        <v>0</v>
      </c>
    </row>
    <row r="749" spans="1:15" x14ac:dyDescent="0.2">
      <c r="A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 cm="1">
        <f t="array" ref="O749">IF(ISBLANK(E749),0,IFERROR(ROUND(INDEX(E$1:E748,MAX(IF(E$1:E748&lt;&gt;"",ROW(E$1:E748))))+C749-D749-E749,2),0))</f>
        <v>0</v>
      </c>
    </row>
    <row r="750" spans="1:15" x14ac:dyDescent="0.2">
      <c r="A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 cm="1">
        <f t="array" ref="O750">IF(ISBLANK(E750),0,IFERROR(ROUND(INDEX(E$1:E749,MAX(IF(E$1:E749&lt;&gt;"",ROW(E$1:E749))))+C750-D750-E750,2),0))</f>
        <v>0</v>
      </c>
    </row>
    <row r="751" spans="1:15" x14ac:dyDescent="0.2">
      <c r="A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 cm="1">
        <f t="array" ref="O751">IF(ISBLANK(E751),0,IFERROR(ROUND(INDEX(E$1:E750,MAX(IF(E$1:E750&lt;&gt;"",ROW(E$1:E750))))+C751-D751-E751,2),0))</f>
        <v>0</v>
      </c>
    </row>
    <row r="752" spans="1:15" x14ac:dyDescent="0.2">
      <c r="A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 cm="1">
        <f t="array" ref="O752">IF(ISBLANK(E752),0,IFERROR(ROUND(INDEX(E$1:E751,MAX(IF(E$1:E751&lt;&gt;"",ROW(E$1:E751))))+C752-D752-E752,2),0))</f>
        <v>0</v>
      </c>
    </row>
    <row r="753" spans="1:15" x14ac:dyDescent="0.2">
      <c r="A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 cm="1">
        <f t="array" ref="O753">IF(ISBLANK(E753),0,IFERROR(ROUND(INDEX(E$1:E752,MAX(IF(E$1:E752&lt;&gt;"",ROW(E$1:E752))))+C753-D753-E753,2),0))</f>
        <v>0</v>
      </c>
    </row>
    <row r="754" spans="1:15" x14ac:dyDescent="0.2">
      <c r="A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 cm="1">
        <f t="array" ref="O754">IF(ISBLANK(E754),0,IFERROR(ROUND(INDEX(E$1:E753,MAX(IF(E$1:E753&lt;&gt;"",ROW(E$1:E753))))+C754-D754-E754,2),0))</f>
        <v>0</v>
      </c>
    </row>
    <row r="755" spans="1:15" x14ac:dyDescent="0.2">
      <c r="A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 cm="1">
        <f t="array" ref="O755">IF(ISBLANK(E755),0,IFERROR(ROUND(INDEX(E$1:E754,MAX(IF(E$1:E754&lt;&gt;"",ROW(E$1:E754))))+C755-D755-E755,2),0))</f>
        <v>0</v>
      </c>
    </row>
    <row r="756" spans="1:15" x14ac:dyDescent="0.2">
      <c r="A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 cm="1">
        <f t="array" ref="O756">IF(ISBLANK(E756),0,IFERROR(ROUND(INDEX(E$1:E755,MAX(IF(E$1:E755&lt;&gt;"",ROW(E$1:E755))))+C756-D756-E756,2),0))</f>
        <v>0</v>
      </c>
    </row>
    <row r="757" spans="1:15" x14ac:dyDescent="0.2">
      <c r="A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 cm="1">
        <f t="array" ref="O757">IF(ISBLANK(E757),0,IFERROR(ROUND(INDEX(E$1:E756,MAX(IF(E$1:E756&lt;&gt;"",ROW(E$1:E756))))+C757-D757-E757,2),0))</f>
        <v>0</v>
      </c>
    </row>
    <row r="758" spans="1:15" x14ac:dyDescent="0.2">
      <c r="A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 cm="1">
        <f t="array" ref="O758">IF(ISBLANK(E758),0,IFERROR(ROUND(INDEX(E$1:E757,MAX(IF(E$1:E757&lt;&gt;"",ROW(E$1:E757))))+C758-D758-E758,2),0))</f>
        <v>0</v>
      </c>
    </row>
    <row r="759" spans="1:15" x14ac:dyDescent="0.2">
      <c r="A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 cm="1">
        <f t="array" ref="O759">IF(ISBLANK(E759),0,IFERROR(ROUND(INDEX(E$1:E758,MAX(IF(E$1:E758&lt;&gt;"",ROW(E$1:E758))))+C759-D759-E759,2),0))</f>
        <v>0</v>
      </c>
    </row>
    <row r="760" spans="1:15" x14ac:dyDescent="0.2">
      <c r="A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 cm="1">
        <f t="array" ref="O760">IF(ISBLANK(E760),0,IFERROR(ROUND(INDEX(E$1:E759,MAX(IF(E$1:E759&lt;&gt;"",ROW(E$1:E759))))+C760-D760-E760,2),0))</f>
        <v>0</v>
      </c>
    </row>
    <row r="761" spans="1:15" x14ac:dyDescent="0.2">
      <c r="A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 cm="1">
        <f t="array" ref="O761">IF(ISBLANK(E761),0,IFERROR(ROUND(INDEX(E$1:E760,MAX(IF(E$1:E760&lt;&gt;"",ROW(E$1:E760))))+C761-D761-E761,2),0))</f>
        <v>0</v>
      </c>
    </row>
    <row r="762" spans="1:15" x14ac:dyDescent="0.2">
      <c r="A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 cm="1">
        <f t="array" ref="O762">IF(ISBLANK(E762),0,IFERROR(ROUND(INDEX(E$1:E761,MAX(IF(E$1:E761&lt;&gt;"",ROW(E$1:E761))))+C762-D762-E762,2),0))</f>
        <v>0</v>
      </c>
    </row>
    <row r="763" spans="1:15" x14ac:dyDescent="0.2">
      <c r="A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 cm="1">
        <f t="array" ref="O763">IF(ISBLANK(E763),0,IFERROR(ROUND(INDEX(E$1:E762,MAX(IF(E$1:E762&lt;&gt;"",ROW(E$1:E762))))+C763-D763-E763,2),0))</f>
        <v>0</v>
      </c>
    </row>
    <row r="764" spans="1:15" x14ac:dyDescent="0.2">
      <c r="A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 cm="1">
        <f t="array" ref="O764">IF(ISBLANK(E764),0,IFERROR(ROUND(INDEX(E$1:E763,MAX(IF(E$1:E763&lt;&gt;"",ROW(E$1:E763))))+C764-D764-E764,2),0))</f>
        <v>0</v>
      </c>
    </row>
    <row r="765" spans="1:15" x14ac:dyDescent="0.2">
      <c r="A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 cm="1">
        <f t="array" ref="O765">IF(ISBLANK(E765),0,IFERROR(ROUND(INDEX(E$1:E764,MAX(IF(E$1:E764&lt;&gt;"",ROW(E$1:E764))))+C765-D765-E765,2),0))</f>
        <v>0</v>
      </c>
    </row>
    <row r="766" spans="1:15" x14ac:dyDescent="0.2">
      <c r="A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 cm="1">
        <f t="array" ref="O766">IF(ISBLANK(E766),0,IFERROR(ROUND(INDEX(E$1:E765,MAX(IF(E$1:E765&lt;&gt;"",ROW(E$1:E765))))+C766-D766-E766,2),0))</f>
        <v>0</v>
      </c>
    </row>
    <row r="767" spans="1:15" x14ac:dyDescent="0.2">
      <c r="A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 cm="1">
        <f t="array" ref="O767">IF(ISBLANK(E767),0,IFERROR(ROUND(INDEX(E$1:E766,MAX(IF(E$1:E766&lt;&gt;"",ROW(E$1:E766))))+C767-D767-E767,2),0))</f>
        <v>0</v>
      </c>
    </row>
    <row r="768" spans="1:15" x14ac:dyDescent="0.2">
      <c r="A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 cm="1">
        <f t="array" ref="O768">IF(ISBLANK(E768),0,IFERROR(ROUND(INDEX(E$1:E767,MAX(IF(E$1:E767&lt;&gt;"",ROW(E$1:E767))))+C768-D768-E768,2),0))</f>
        <v>0</v>
      </c>
    </row>
    <row r="769" spans="1:15" x14ac:dyDescent="0.2">
      <c r="A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 cm="1">
        <f t="array" ref="O769">IF(ISBLANK(E769),0,IFERROR(ROUND(INDEX(E$1:E768,MAX(IF(E$1:E768&lt;&gt;"",ROW(E$1:E768))))+C769-D769-E769,2),0))</f>
        <v>0</v>
      </c>
    </row>
    <row r="770" spans="1:15" x14ac:dyDescent="0.2">
      <c r="A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 cm="1">
        <f t="array" ref="O770">IF(ISBLANK(E770),0,IFERROR(ROUND(INDEX(E$1:E769,MAX(IF(E$1:E769&lt;&gt;"",ROW(E$1:E769))))+C770-D770-E770,2),0))</f>
        <v>0</v>
      </c>
    </row>
    <row r="771" spans="1:15" x14ac:dyDescent="0.2">
      <c r="A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 cm="1">
        <f t="array" ref="O771">IF(ISBLANK(E771),0,IFERROR(ROUND(INDEX(E$1:E770,MAX(IF(E$1:E770&lt;&gt;"",ROW(E$1:E770))))+C771-D771-E771,2),0))</f>
        <v>0</v>
      </c>
    </row>
    <row r="772" spans="1:15" x14ac:dyDescent="0.2">
      <c r="A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 cm="1">
        <f t="array" ref="O772">IF(ISBLANK(E772),0,IFERROR(ROUND(INDEX(E$1:E771,MAX(IF(E$1:E771&lt;&gt;"",ROW(E$1:E771))))+C772-D772-E772,2),0))</f>
        <v>0</v>
      </c>
    </row>
    <row r="773" spans="1:15" x14ac:dyDescent="0.2">
      <c r="A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 cm="1">
        <f t="array" ref="O773">IF(ISBLANK(E773),0,IFERROR(ROUND(INDEX(E$1:E772,MAX(IF(E$1:E772&lt;&gt;"",ROW(E$1:E772))))+C773-D773-E773,2),0))</f>
        <v>0</v>
      </c>
    </row>
    <row r="774" spans="1:15" x14ac:dyDescent="0.2">
      <c r="A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 cm="1">
        <f t="array" ref="O774">IF(ISBLANK(E774),0,IFERROR(ROUND(INDEX(E$1:E773,MAX(IF(E$1:E773&lt;&gt;"",ROW(E$1:E773))))+C774-D774-E774,2),0))</f>
        <v>0</v>
      </c>
    </row>
    <row r="775" spans="1:15" x14ac:dyDescent="0.2">
      <c r="A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 cm="1">
        <f t="array" ref="O775">IF(ISBLANK(E775),0,IFERROR(ROUND(INDEX(E$1:E774,MAX(IF(E$1:E774&lt;&gt;"",ROW(E$1:E774))))+C775-D775-E775,2),0))</f>
        <v>0</v>
      </c>
    </row>
    <row r="776" spans="1:15" x14ac:dyDescent="0.2">
      <c r="A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 cm="1">
        <f t="array" ref="O776">IF(ISBLANK(E776),0,IFERROR(ROUND(INDEX(E$1:E775,MAX(IF(E$1:E775&lt;&gt;"",ROW(E$1:E775))))+C776-D776-E776,2),0))</f>
        <v>0</v>
      </c>
    </row>
    <row r="777" spans="1:15" x14ac:dyDescent="0.2">
      <c r="A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 cm="1">
        <f t="array" ref="O777">IF(ISBLANK(E777),0,IFERROR(ROUND(INDEX(E$1:E776,MAX(IF(E$1:E776&lt;&gt;"",ROW(E$1:E776))))+C777-D777-E777,2),0))</f>
        <v>0</v>
      </c>
    </row>
    <row r="778" spans="1:15" x14ac:dyDescent="0.2">
      <c r="A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 cm="1">
        <f t="array" ref="O778">IF(ISBLANK(E778),0,IFERROR(ROUND(INDEX(E$1:E777,MAX(IF(E$1:E777&lt;&gt;"",ROW(E$1:E777))))+C778-D778-E778,2),0))</f>
        <v>0</v>
      </c>
    </row>
    <row r="779" spans="1:15" x14ac:dyDescent="0.2">
      <c r="A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 cm="1">
        <f t="array" ref="O779">IF(ISBLANK(E779),0,IFERROR(ROUND(INDEX(E$1:E778,MAX(IF(E$1:E778&lt;&gt;"",ROW(E$1:E778))))+C779-D779-E779,2),0))</f>
        <v>0</v>
      </c>
    </row>
    <row r="780" spans="1:15" x14ac:dyDescent="0.2">
      <c r="A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 cm="1">
        <f t="array" ref="O780">IF(ISBLANK(E780),0,IFERROR(ROUND(INDEX(E$1:E779,MAX(IF(E$1:E779&lt;&gt;"",ROW(E$1:E779))))+C780-D780-E780,2),0))</f>
        <v>0</v>
      </c>
    </row>
    <row r="781" spans="1:15" x14ac:dyDescent="0.2">
      <c r="A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 cm="1">
        <f t="array" ref="O781">IF(ISBLANK(E781),0,IFERROR(ROUND(INDEX(E$1:E780,MAX(IF(E$1:E780&lt;&gt;"",ROW(E$1:E780))))+C781-D781-E781,2),0))</f>
        <v>0</v>
      </c>
    </row>
    <row r="782" spans="1:15" x14ac:dyDescent="0.2">
      <c r="A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 cm="1">
        <f t="array" ref="O782">IF(ISBLANK(E782),0,IFERROR(ROUND(INDEX(E$1:E781,MAX(IF(E$1:E781&lt;&gt;"",ROW(E$1:E781))))+C782-D782-E782,2),0))</f>
        <v>0</v>
      </c>
    </row>
    <row r="783" spans="1:15" x14ac:dyDescent="0.2">
      <c r="A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 cm="1">
        <f t="array" ref="O783">IF(ISBLANK(E783),0,IFERROR(ROUND(INDEX(E$1:E782,MAX(IF(E$1:E782&lt;&gt;"",ROW(E$1:E782))))+C783-D783-E783,2),0))</f>
        <v>0</v>
      </c>
    </row>
    <row r="784" spans="1:15" x14ac:dyDescent="0.2">
      <c r="A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 cm="1">
        <f t="array" ref="O784">IF(ISBLANK(E784),0,IFERROR(ROUND(INDEX(E$1:E783,MAX(IF(E$1:E783&lt;&gt;"",ROW(E$1:E783))))+C784-D784-E784,2),0))</f>
        <v>0</v>
      </c>
    </row>
    <row r="785" spans="1:15" x14ac:dyDescent="0.2">
      <c r="A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 cm="1">
        <f t="array" ref="O785">IF(ISBLANK(E785),0,IFERROR(ROUND(INDEX(E$1:E784,MAX(IF(E$1:E784&lt;&gt;"",ROW(E$1:E784))))+C785-D785-E785,2),0))</f>
        <v>0</v>
      </c>
    </row>
    <row r="786" spans="1:15" x14ac:dyDescent="0.2">
      <c r="A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 cm="1">
        <f t="array" ref="O786">IF(ISBLANK(E786),0,IFERROR(ROUND(INDEX(E$1:E785,MAX(IF(E$1:E785&lt;&gt;"",ROW(E$1:E785))))+C786-D786-E786,2),0))</f>
        <v>0</v>
      </c>
    </row>
    <row r="787" spans="1:15" x14ac:dyDescent="0.2">
      <c r="A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 cm="1">
        <f t="array" ref="O787">IF(ISBLANK(E787),0,IFERROR(ROUND(INDEX(E$1:E786,MAX(IF(E$1:E786&lt;&gt;"",ROW(E$1:E786))))+C787-D787-E787,2),0))</f>
        <v>0</v>
      </c>
    </row>
    <row r="788" spans="1:15" x14ac:dyDescent="0.2">
      <c r="A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 cm="1">
        <f t="array" ref="O788">IF(ISBLANK(E788),0,IFERROR(ROUND(INDEX(E$1:E787,MAX(IF(E$1:E787&lt;&gt;"",ROW(E$1:E787))))+C788-D788-E788,2),0))</f>
        <v>0</v>
      </c>
    </row>
    <row r="789" spans="1:15" x14ac:dyDescent="0.2">
      <c r="A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 cm="1">
        <f t="array" ref="O789">IF(ISBLANK(E789),0,IFERROR(ROUND(INDEX(E$1:E788,MAX(IF(E$1:E788&lt;&gt;"",ROW(E$1:E788))))+C789-D789-E789,2),0))</f>
        <v>0</v>
      </c>
    </row>
    <row r="790" spans="1:15" x14ac:dyDescent="0.2">
      <c r="A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 cm="1">
        <f t="array" ref="O790">IF(ISBLANK(E790),0,IFERROR(ROUND(INDEX(E$1:E789,MAX(IF(E$1:E789&lt;&gt;"",ROW(E$1:E789))))+C790-D790-E790,2),0))</f>
        <v>0</v>
      </c>
    </row>
    <row r="791" spans="1:15" x14ac:dyDescent="0.2">
      <c r="A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 cm="1">
        <f t="array" ref="O791">IF(ISBLANK(E791),0,IFERROR(ROUND(INDEX(E$1:E790,MAX(IF(E$1:E790&lt;&gt;"",ROW(E$1:E790))))+C791-D791-E791,2),0))</f>
        <v>0</v>
      </c>
    </row>
    <row r="792" spans="1:15" x14ac:dyDescent="0.2">
      <c r="A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 cm="1">
        <f t="array" ref="O792">IF(ISBLANK(E792),0,IFERROR(ROUND(INDEX(E$1:E791,MAX(IF(E$1:E791&lt;&gt;"",ROW(E$1:E791))))+C792-D792-E792,2),0))</f>
        <v>0</v>
      </c>
    </row>
    <row r="793" spans="1:15" x14ac:dyDescent="0.2">
      <c r="A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 cm="1">
        <f t="array" ref="O793">IF(ISBLANK(E793),0,IFERROR(ROUND(INDEX(E$1:E792,MAX(IF(E$1:E792&lt;&gt;"",ROW(E$1:E792))))+C793-D793-E793,2),0))</f>
        <v>0</v>
      </c>
    </row>
    <row r="794" spans="1:15" x14ac:dyDescent="0.2">
      <c r="A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 cm="1">
        <f t="array" ref="O794">IF(ISBLANK(E794),0,IFERROR(ROUND(INDEX(E$1:E793,MAX(IF(E$1:E793&lt;&gt;"",ROW(E$1:E793))))+C794-D794-E794,2),0))</f>
        <v>0</v>
      </c>
    </row>
    <row r="795" spans="1:15" x14ac:dyDescent="0.2">
      <c r="A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 cm="1">
        <f t="array" ref="O795">IF(ISBLANK(E795),0,IFERROR(ROUND(INDEX(E$1:E794,MAX(IF(E$1:E794&lt;&gt;"",ROW(E$1:E794))))+C795-D795-E795,2),0))</f>
        <v>0</v>
      </c>
    </row>
    <row r="796" spans="1:15" x14ac:dyDescent="0.2">
      <c r="A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 cm="1">
        <f t="array" ref="O796">IF(ISBLANK(E796),0,IFERROR(ROUND(INDEX(E$1:E795,MAX(IF(E$1:E795&lt;&gt;"",ROW(E$1:E795))))+C796-D796-E796,2),0))</f>
        <v>0</v>
      </c>
    </row>
    <row r="797" spans="1:15" x14ac:dyDescent="0.2">
      <c r="A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 cm="1">
        <f t="array" ref="O797">IF(ISBLANK(E797),0,IFERROR(ROUND(INDEX(E$1:E796,MAX(IF(E$1:E796&lt;&gt;"",ROW(E$1:E796))))+C797-D797-E797,2),0))</f>
        <v>0</v>
      </c>
    </row>
    <row r="798" spans="1:15" x14ac:dyDescent="0.2">
      <c r="A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 cm="1">
        <f t="array" ref="O798">IF(ISBLANK(E798),0,IFERROR(ROUND(INDEX(E$1:E797,MAX(IF(E$1:E797&lt;&gt;"",ROW(E$1:E797))))+C798-D798-E798,2),0))</f>
        <v>0</v>
      </c>
    </row>
    <row r="799" spans="1:15" x14ac:dyDescent="0.2">
      <c r="A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 cm="1">
        <f t="array" ref="O799">IF(ISBLANK(E799),0,IFERROR(ROUND(INDEX(E$1:E798,MAX(IF(E$1:E798&lt;&gt;"",ROW(E$1:E798))))+C799-D799-E799,2),0))</f>
        <v>0</v>
      </c>
    </row>
    <row r="800" spans="1:15" x14ac:dyDescent="0.2">
      <c r="A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 cm="1">
        <f t="array" ref="O800">IF(ISBLANK(E800),0,IFERROR(ROUND(INDEX(E$1:E799,MAX(IF(E$1:E799&lt;&gt;"",ROW(E$1:E799))))+C800-D800-E800,2),0))</f>
        <v>0</v>
      </c>
    </row>
    <row r="801" spans="1:15" x14ac:dyDescent="0.2">
      <c r="A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 cm="1">
        <f t="array" ref="O801">IF(ISBLANK(E801),0,IFERROR(ROUND(INDEX(E$1:E800,MAX(IF(E$1:E800&lt;&gt;"",ROW(E$1:E800))))+C801-D801-E801,2),0))</f>
        <v>0</v>
      </c>
    </row>
    <row r="802" spans="1:15" x14ac:dyDescent="0.2">
      <c r="A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 cm="1">
        <f t="array" ref="O802">IF(ISBLANK(E802),0,IFERROR(ROUND(INDEX(E$1:E801,MAX(IF(E$1:E801&lt;&gt;"",ROW(E$1:E801))))+C802-D802-E802,2),0))</f>
        <v>0</v>
      </c>
    </row>
    <row r="803" spans="1:15" x14ac:dyDescent="0.2">
      <c r="A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 cm="1">
        <f t="array" ref="O803">IF(ISBLANK(E803),0,IFERROR(ROUND(INDEX(E$1:E802,MAX(IF(E$1:E802&lt;&gt;"",ROW(E$1:E802))))+C803-D803-E803,2),0))</f>
        <v>0</v>
      </c>
    </row>
    <row r="804" spans="1:15" x14ac:dyDescent="0.2">
      <c r="A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 cm="1">
        <f t="array" ref="O804">IF(ISBLANK(E804),0,IFERROR(ROUND(INDEX(E$1:E803,MAX(IF(E$1:E803&lt;&gt;"",ROW(E$1:E803))))+C804-D804-E804,2),0))</f>
        <v>0</v>
      </c>
    </row>
    <row r="805" spans="1:15" x14ac:dyDescent="0.2">
      <c r="A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 cm="1">
        <f t="array" ref="O805">IF(ISBLANK(E805),0,IFERROR(ROUND(INDEX(E$1:E804,MAX(IF(E$1:E804&lt;&gt;"",ROW(E$1:E804))))+C805-D805-E805,2),0))</f>
        <v>0</v>
      </c>
    </row>
    <row r="806" spans="1:15" x14ac:dyDescent="0.2">
      <c r="A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 cm="1">
        <f t="array" ref="O806">IF(ISBLANK(E806),0,IFERROR(ROUND(INDEX(E$1:E805,MAX(IF(E$1:E805&lt;&gt;"",ROW(E$1:E805))))+C806-D806-E806,2),0))</f>
        <v>0</v>
      </c>
    </row>
    <row r="807" spans="1:15" x14ac:dyDescent="0.2">
      <c r="A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 cm="1">
        <f t="array" ref="O807">IF(ISBLANK(E807),0,IFERROR(ROUND(INDEX(E$1:E806,MAX(IF(E$1:E806&lt;&gt;"",ROW(E$1:E806))))+C807-D807-E807,2),0))</f>
        <v>0</v>
      </c>
    </row>
    <row r="808" spans="1:15" x14ac:dyDescent="0.2">
      <c r="A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 cm="1">
        <f t="array" ref="O808">IF(ISBLANK(E808),0,IFERROR(ROUND(INDEX(E$1:E807,MAX(IF(E$1:E807&lt;&gt;"",ROW(E$1:E807))))+C808-D808-E808,2),0))</f>
        <v>0</v>
      </c>
    </row>
    <row r="809" spans="1:15" x14ac:dyDescent="0.2">
      <c r="A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 cm="1">
        <f t="array" ref="O809">IF(ISBLANK(E809),0,IFERROR(ROUND(INDEX(E$1:E808,MAX(IF(E$1:E808&lt;&gt;"",ROW(E$1:E808))))+C809-D809-E809,2),0))</f>
        <v>0</v>
      </c>
    </row>
    <row r="810" spans="1:15" x14ac:dyDescent="0.2">
      <c r="A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 cm="1">
        <f t="array" ref="O810">IF(ISBLANK(E810),0,IFERROR(ROUND(INDEX(E$1:E809,MAX(IF(E$1:E809&lt;&gt;"",ROW(E$1:E809))))+C810-D810-E810,2),0))</f>
        <v>0</v>
      </c>
    </row>
    <row r="811" spans="1:15" x14ac:dyDescent="0.2">
      <c r="A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 cm="1">
        <f t="array" ref="O811">IF(ISBLANK(E811),0,IFERROR(ROUND(INDEX(E$1:E810,MAX(IF(E$1:E810&lt;&gt;"",ROW(E$1:E810))))+C811-D811-E811,2),0))</f>
        <v>0</v>
      </c>
    </row>
    <row r="812" spans="1:15" x14ac:dyDescent="0.2">
      <c r="A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 cm="1">
        <f t="array" ref="O812">IF(ISBLANK(E812),0,IFERROR(ROUND(INDEX(E$1:E811,MAX(IF(E$1:E811&lt;&gt;"",ROW(E$1:E811))))+C812-D812-E812,2),0))</f>
        <v>0</v>
      </c>
    </row>
    <row r="813" spans="1:15" x14ac:dyDescent="0.2">
      <c r="A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 cm="1">
        <f t="array" ref="O813">IF(ISBLANK(E813),0,IFERROR(ROUND(INDEX(E$1:E812,MAX(IF(E$1:E812&lt;&gt;"",ROW(E$1:E812))))+C813-D813-E813,2),0))</f>
        <v>0</v>
      </c>
    </row>
    <row r="814" spans="1:15" x14ac:dyDescent="0.2">
      <c r="A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 cm="1">
        <f t="array" ref="O814">IF(ISBLANK(E814),0,IFERROR(ROUND(INDEX(E$1:E813,MAX(IF(E$1:E813&lt;&gt;"",ROW(E$1:E813))))+C814-D814-E814,2),0))</f>
        <v>0</v>
      </c>
    </row>
    <row r="815" spans="1:15" x14ac:dyDescent="0.2">
      <c r="A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 cm="1">
        <f t="array" ref="O815">IF(ISBLANK(E815),0,IFERROR(ROUND(INDEX(E$1:E814,MAX(IF(E$1:E814&lt;&gt;"",ROW(E$1:E814))))+C815-D815-E815,2),0))</f>
        <v>0</v>
      </c>
    </row>
    <row r="816" spans="1:15" x14ac:dyDescent="0.2">
      <c r="A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 cm="1">
        <f t="array" ref="O816">IF(ISBLANK(E816),0,IFERROR(ROUND(INDEX(E$1:E815,MAX(IF(E$1:E815&lt;&gt;"",ROW(E$1:E815))))+C816-D816-E816,2),0))</f>
        <v>0</v>
      </c>
    </row>
    <row r="817" spans="1:15" x14ac:dyDescent="0.2">
      <c r="A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 cm="1">
        <f t="array" ref="O817">IF(ISBLANK(E817),0,IFERROR(ROUND(INDEX(E$1:E816,MAX(IF(E$1:E816&lt;&gt;"",ROW(E$1:E816))))+C817-D817-E817,2),0))</f>
        <v>0</v>
      </c>
    </row>
    <row r="818" spans="1:15" x14ac:dyDescent="0.2">
      <c r="A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 cm="1">
        <f t="array" ref="O818">IF(ISBLANK(E818),0,IFERROR(ROUND(INDEX(E$1:E817,MAX(IF(E$1:E817&lt;&gt;"",ROW(E$1:E817))))+C818-D818-E818,2),0))</f>
        <v>0</v>
      </c>
    </row>
    <row r="819" spans="1:15" x14ac:dyDescent="0.2">
      <c r="A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 cm="1">
        <f t="array" ref="O819">IF(ISBLANK(E819),0,IFERROR(ROUND(INDEX(E$1:E818,MAX(IF(E$1:E818&lt;&gt;"",ROW(E$1:E818))))+C819-D819-E819,2),0))</f>
        <v>0</v>
      </c>
    </row>
    <row r="820" spans="1:15" x14ac:dyDescent="0.2">
      <c r="A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 cm="1">
        <f t="array" ref="O820">IF(ISBLANK(E820),0,IFERROR(ROUND(INDEX(E$1:E819,MAX(IF(E$1:E819&lt;&gt;"",ROW(E$1:E819))))+C820-D820-E820,2),0))</f>
        <v>0</v>
      </c>
    </row>
    <row r="821" spans="1:15" x14ac:dyDescent="0.2">
      <c r="A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 cm="1">
        <f t="array" ref="O821">IF(ISBLANK(E821),0,IFERROR(ROUND(INDEX(E$1:E820,MAX(IF(E$1:E820&lt;&gt;"",ROW(E$1:E820))))+C821-D821-E821,2),0))</f>
        <v>0</v>
      </c>
    </row>
    <row r="822" spans="1:15" x14ac:dyDescent="0.2">
      <c r="A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 cm="1">
        <f t="array" ref="O822">IF(ISBLANK(E822),0,IFERROR(ROUND(INDEX(E$1:E821,MAX(IF(E$1:E821&lt;&gt;"",ROW(E$1:E821))))+C822-D822-E822,2),0))</f>
        <v>0</v>
      </c>
    </row>
    <row r="823" spans="1:15" x14ac:dyDescent="0.2">
      <c r="A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 cm="1">
        <f t="array" ref="O823">IF(ISBLANK(E823),0,IFERROR(ROUND(INDEX(E$1:E822,MAX(IF(E$1:E822&lt;&gt;"",ROW(E$1:E822))))+C823-D823-E823,2),0))</f>
        <v>0</v>
      </c>
    </row>
    <row r="824" spans="1:15" x14ac:dyDescent="0.2">
      <c r="A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 cm="1">
        <f t="array" ref="O824">IF(ISBLANK(E824),0,IFERROR(ROUND(INDEX(E$1:E823,MAX(IF(E$1:E823&lt;&gt;"",ROW(E$1:E823))))+C824-D824-E824,2),0))</f>
        <v>0</v>
      </c>
    </row>
    <row r="825" spans="1:15" x14ac:dyDescent="0.2">
      <c r="A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 cm="1">
        <f t="array" ref="O825">IF(ISBLANK(E825),0,IFERROR(ROUND(INDEX(E$1:E824,MAX(IF(E$1:E824&lt;&gt;"",ROW(E$1:E824))))+C825-D825-E825,2),0))</f>
        <v>0</v>
      </c>
    </row>
    <row r="826" spans="1:15" x14ac:dyDescent="0.2">
      <c r="A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 cm="1">
        <f t="array" ref="O826">IF(ISBLANK(E826),0,IFERROR(ROUND(INDEX(E$1:E825,MAX(IF(E$1:E825&lt;&gt;"",ROW(E$1:E825))))+C826-D826-E826,2),0))</f>
        <v>0</v>
      </c>
    </row>
    <row r="827" spans="1:15" x14ac:dyDescent="0.2">
      <c r="A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 cm="1">
        <f t="array" ref="O827">IF(ISBLANK(E827),0,IFERROR(ROUND(INDEX(E$1:E826,MAX(IF(E$1:E826&lt;&gt;"",ROW(E$1:E826))))+C827-D827-E827,2),0))</f>
        <v>0</v>
      </c>
    </row>
    <row r="828" spans="1:15" x14ac:dyDescent="0.2">
      <c r="A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 cm="1">
        <f t="array" ref="O828">IF(ISBLANK(E828),0,IFERROR(ROUND(INDEX(E$1:E827,MAX(IF(E$1:E827&lt;&gt;"",ROW(E$1:E827))))+C828-D828-E828,2),0))</f>
        <v>0</v>
      </c>
    </row>
    <row r="829" spans="1:15" x14ac:dyDescent="0.2">
      <c r="A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 cm="1">
        <f t="array" ref="O829">IF(ISBLANK(E829),0,IFERROR(ROUND(INDEX(E$1:E828,MAX(IF(E$1:E828&lt;&gt;"",ROW(E$1:E828))))+C829-D829-E829,2),0))</f>
        <v>0</v>
      </c>
    </row>
    <row r="830" spans="1:15" x14ac:dyDescent="0.2">
      <c r="A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 cm="1">
        <f t="array" ref="O830">IF(ISBLANK(E830),0,IFERROR(ROUND(INDEX(E$1:E829,MAX(IF(E$1:E829&lt;&gt;"",ROW(E$1:E829))))+C830-D830-E830,2),0))</f>
        <v>0</v>
      </c>
    </row>
    <row r="831" spans="1:15" x14ac:dyDescent="0.2">
      <c r="A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 cm="1">
        <f t="array" ref="O831">IF(ISBLANK(E831),0,IFERROR(ROUND(INDEX(E$1:E830,MAX(IF(E$1:E830&lt;&gt;"",ROW(E$1:E830))))+C831-D831-E831,2),0))</f>
        <v>0</v>
      </c>
    </row>
    <row r="832" spans="1:15" x14ac:dyDescent="0.2">
      <c r="A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 cm="1">
        <f t="array" ref="O832">IF(ISBLANK(E832),0,IFERROR(ROUND(INDEX(E$1:E831,MAX(IF(E$1:E831&lt;&gt;"",ROW(E$1:E831))))+C832-D832-E832,2),0))</f>
        <v>0</v>
      </c>
    </row>
    <row r="833" spans="1:15" x14ac:dyDescent="0.2">
      <c r="A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 cm="1">
        <f t="array" ref="O833">IF(ISBLANK(E833),0,IFERROR(ROUND(INDEX(E$1:E832,MAX(IF(E$1:E832&lt;&gt;"",ROW(E$1:E832))))+C833-D833-E833,2),0))</f>
        <v>0</v>
      </c>
    </row>
    <row r="834" spans="1:15" x14ac:dyDescent="0.2">
      <c r="A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 cm="1">
        <f t="array" ref="O834">IF(ISBLANK(E834),0,IFERROR(ROUND(INDEX(E$1:E833,MAX(IF(E$1:E833&lt;&gt;"",ROW(E$1:E833))))+C834-D834-E834,2),0))</f>
        <v>0</v>
      </c>
    </row>
    <row r="835" spans="1:15" x14ac:dyDescent="0.2">
      <c r="A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 cm="1">
        <f t="array" ref="O835">IF(ISBLANK(E835),0,IFERROR(ROUND(INDEX(E$1:E834,MAX(IF(E$1:E834&lt;&gt;"",ROW(E$1:E834))))+C835-D835-E835,2),0))</f>
        <v>0</v>
      </c>
    </row>
    <row r="836" spans="1:15" x14ac:dyDescent="0.2">
      <c r="A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 cm="1">
        <f t="array" ref="O836">IF(ISBLANK(E836),0,IFERROR(ROUND(INDEX(E$1:E835,MAX(IF(E$1:E835&lt;&gt;"",ROW(E$1:E835))))+C836-D836-E836,2),0))</f>
        <v>0</v>
      </c>
    </row>
    <row r="837" spans="1:15" x14ac:dyDescent="0.2">
      <c r="A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 cm="1">
        <f t="array" ref="O837">IF(ISBLANK(E837),0,IFERROR(ROUND(INDEX(E$1:E836,MAX(IF(E$1:E836&lt;&gt;"",ROW(E$1:E836))))+C837-D837-E837,2),0))</f>
        <v>0</v>
      </c>
    </row>
    <row r="838" spans="1:15" x14ac:dyDescent="0.2">
      <c r="A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 cm="1">
        <f t="array" ref="O838">IF(ISBLANK(E838),0,IFERROR(ROUND(INDEX(E$1:E837,MAX(IF(E$1:E837&lt;&gt;"",ROW(E$1:E837))))+C838-D838-E838,2),0))</f>
        <v>0</v>
      </c>
    </row>
    <row r="839" spans="1:15" x14ac:dyDescent="0.2">
      <c r="A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 cm="1">
        <f t="array" ref="O839">IF(ISBLANK(E839),0,IFERROR(ROUND(INDEX(E$1:E838,MAX(IF(E$1:E838&lt;&gt;"",ROW(E$1:E838))))+C839-D839-E839,2),0))</f>
        <v>0</v>
      </c>
    </row>
    <row r="840" spans="1:15" x14ac:dyDescent="0.2">
      <c r="A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 cm="1">
        <f t="array" ref="O840">IF(ISBLANK(E840),0,IFERROR(ROUND(INDEX(E$1:E839,MAX(IF(E$1:E839&lt;&gt;"",ROW(E$1:E839))))+C840-D840-E840,2),0))</f>
        <v>0</v>
      </c>
    </row>
    <row r="841" spans="1:15" x14ac:dyDescent="0.2">
      <c r="A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 cm="1">
        <f t="array" ref="O841">IF(ISBLANK(E841),0,IFERROR(ROUND(INDEX(E$1:E840,MAX(IF(E$1:E840&lt;&gt;"",ROW(E$1:E840))))+C841-D841-E841,2),0))</f>
        <v>0</v>
      </c>
    </row>
    <row r="842" spans="1:15" x14ac:dyDescent="0.2">
      <c r="A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 cm="1">
        <f t="array" ref="O842">IF(ISBLANK(E842),0,IFERROR(ROUND(INDEX(E$1:E841,MAX(IF(E$1:E841&lt;&gt;"",ROW(E$1:E841))))+C842-D842-E842,2),0))</f>
        <v>0</v>
      </c>
    </row>
    <row r="843" spans="1:15" x14ac:dyDescent="0.2">
      <c r="A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 cm="1">
        <f t="array" ref="O843">IF(ISBLANK(E843),0,IFERROR(ROUND(INDEX(E$1:E842,MAX(IF(E$1:E842&lt;&gt;"",ROW(E$1:E842))))+C843-D843-E843,2),0))</f>
        <v>0</v>
      </c>
    </row>
    <row r="844" spans="1:15" x14ac:dyDescent="0.2">
      <c r="A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 cm="1">
        <f t="array" ref="O844">IF(ISBLANK(E844),0,IFERROR(ROUND(INDEX(E$1:E843,MAX(IF(E$1:E843&lt;&gt;"",ROW(E$1:E843))))+C844-D844-E844,2),0))</f>
        <v>0</v>
      </c>
    </row>
    <row r="845" spans="1:15" x14ac:dyDescent="0.2">
      <c r="A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 cm="1">
        <f t="array" ref="O845">IF(ISBLANK(E845),0,IFERROR(ROUND(INDEX(E$1:E844,MAX(IF(E$1:E844&lt;&gt;"",ROW(E$1:E844))))+C845-D845-E845,2),0))</f>
        <v>0</v>
      </c>
    </row>
    <row r="846" spans="1:15" x14ac:dyDescent="0.2">
      <c r="A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 cm="1">
        <f t="array" ref="O846">IF(ISBLANK(E846),0,IFERROR(ROUND(INDEX(E$1:E845,MAX(IF(E$1:E845&lt;&gt;"",ROW(E$1:E845))))+C846-D846-E846,2),0))</f>
        <v>0</v>
      </c>
    </row>
    <row r="847" spans="1:15" x14ac:dyDescent="0.2">
      <c r="A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 cm="1">
        <f t="array" ref="O847">IF(ISBLANK(E847),0,IFERROR(ROUND(INDEX(E$1:E846,MAX(IF(E$1:E846&lt;&gt;"",ROW(E$1:E846))))+C847-D847-E847,2),0))</f>
        <v>0</v>
      </c>
    </row>
    <row r="848" spans="1:15" x14ac:dyDescent="0.2">
      <c r="A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 cm="1">
        <f t="array" ref="O848">IF(ISBLANK(E848),0,IFERROR(ROUND(INDEX(E$1:E847,MAX(IF(E$1:E847&lt;&gt;"",ROW(E$1:E847))))+C848-D848-E848,2),0))</f>
        <v>0</v>
      </c>
    </row>
    <row r="849" spans="1:15" x14ac:dyDescent="0.2">
      <c r="A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 cm="1">
        <f t="array" ref="O849">IF(ISBLANK(E849),0,IFERROR(ROUND(INDEX(E$1:E848,MAX(IF(E$1:E848&lt;&gt;"",ROW(E$1:E848))))+C849-D849-E849,2),0))</f>
        <v>0</v>
      </c>
    </row>
    <row r="850" spans="1:15" x14ac:dyDescent="0.2">
      <c r="A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 cm="1">
        <f t="array" ref="O850">IF(ISBLANK(E850),0,IFERROR(ROUND(INDEX(E$1:E849,MAX(IF(E$1:E849&lt;&gt;"",ROW(E$1:E849))))+C850-D850-E850,2),0))</f>
        <v>0</v>
      </c>
    </row>
    <row r="851" spans="1:15" x14ac:dyDescent="0.2">
      <c r="A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 cm="1">
        <f t="array" ref="O851">IF(ISBLANK(E851),0,IFERROR(ROUND(INDEX(E$1:E850,MAX(IF(E$1:E850&lt;&gt;"",ROW(E$1:E850))))+C851-D851-E851,2),0))</f>
        <v>0</v>
      </c>
    </row>
    <row r="852" spans="1:15" x14ac:dyDescent="0.2">
      <c r="A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 cm="1">
        <f t="array" ref="O852">IF(ISBLANK(E852),0,IFERROR(ROUND(INDEX(E$1:E851,MAX(IF(E$1:E851&lt;&gt;"",ROW(E$1:E851))))+C852-D852-E852,2),0))</f>
        <v>0</v>
      </c>
    </row>
    <row r="853" spans="1:15" x14ac:dyDescent="0.2">
      <c r="A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 cm="1">
        <f t="array" ref="O853">IF(ISBLANK(E853),0,IFERROR(ROUND(INDEX(E$1:E852,MAX(IF(E$1:E852&lt;&gt;"",ROW(E$1:E852))))+C853-D853-E853,2),0))</f>
        <v>0</v>
      </c>
    </row>
    <row r="854" spans="1:15" x14ac:dyDescent="0.2">
      <c r="A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 cm="1">
        <f t="array" ref="O854">IF(ISBLANK(E854),0,IFERROR(ROUND(INDEX(E$1:E853,MAX(IF(E$1:E853&lt;&gt;"",ROW(E$1:E853))))+C854-D854-E854,2),0))</f>
        <v>0</v>
      </c>
    </row>
    <row r="855" spans="1:15" x14ac:dyDescent="0.2">
      <c r="A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 cm="1">
        <f t="array" ref="O855">IF(ISBLANK(E855),0,IFERROR(ROUND(INDEX(E$1:E854,MAX(IF(E$1:E854&lt;&gt;"",ROW(E$1:E854))))+C855-D855-E855,2),0))</f>
        <v>0</v>
      </c>
    </row>
    <row r="856" spans="1:15" x14ac:dyDescent="0.2">
      <c r="A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 cm="1">
        <f t="array" ref="O856">IF(ISBLANK(E856),0,IFERROR(ROUND(INDEX(E$1:E855,MAX(IF(E$1:E855&lt;&gt;"",ROW(E$1:E855))))+C856-D856-E856,2),0))</f>
        <v>0</v>
      </c>
    </row>
    <row r="857" spans="1:15" x14ac:dyDescent="0.2">
      <c r="A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 cm="1">
        <f t="array" ref="O857">IF(ISBLANK(E857),0,IFERROR(ROUND(INDEX(E$1:E856,MAX(IF(E$1:E856&lt;&gt;"",ROW(E$1:E856))))+C857-D857-E857,2),0))</f>
        <v>0</v>
      </c>
    </row>
    <row r="858" spans="1:15" x14ac:dyDescent="0.2">
      <c r="A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 cm="1">
        <f t="array" ref="O858">IF(ISBLANK(E858),0,IFERROR(ROUND(INDEX(E$1:E857,MAX(IF(E$1:E857&lt;&gt;"",ROW(E$1:E857))))+C858-D858-E858,2),0))</f>
        <v>0</v>
      </c>
    </row>
    <row r="859" spans="1:15" x14ac:dyDescent="0.2">
      <c r="A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 cm="1">
        <f t="array" ref="O859">IF(ISBLANK(E859),0,IFERROR(ROUND(INDEX(E$1:E858,MAX(IF(E$1:E858&lt;&gt;"",ROW(E$1:E858))))+C859-D859-E859,2),0))</f>
        <v>0</v>
      </c>
    </row>
    <row r="860" spans="1:15" x14ac:dyDescent="0.2">
      <c r="A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 cm="1">
        <f t="array" ref="O860">IF(ISBLANK(E860),0,IFERROR(ROUND(INDEX(E$1:E859,MAX(IF(E$1:E859&lt;&gt;"",ROW(E$1:E859))))+C860-D860-E860,2),0))</f>
        <v>0</v>
      </c>
    </row>
    <row r="861" spans="1:15" x14ac:dyDescent="0.2">
      <c r="A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 cm="1">
        <f t="array" ref="O861">IF(ISBLANK(E861),0,IFERROR(ROUND(INDEX(E$1:E860,MAX(IF(E$1:E860&lt;&gt;"",ROW(E$1:E860))))+C861-D861-E861,2),0))</f>
        <v>0</v>
      </c>
    </row>
    <row r="862" spans="1:15" x14ac:dyDescent="0.2">
      <c r="A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 cm="1">
        <f t="array" ref="O862">IF(ISBLANK(E862),0,IFERROR(ROUND(INDEX(E$1:E861,MAX(IF(E$1:E861&lt;&gt;"",ROW(E$1:E861))))+C862-D862-E862,2),0))</f>
        <v>0</v>
      </c>
    </row>
    <row r="863" spans="1:15" x14ac:dyDescent="0.2">
      <c r="A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 cm="1">
        <f t="array" ref="O863">IF(ISBLANK(E863),0,IFERROR(ROUND(INDEX(E$1:E862,MAX(IF(E$1:E862&lt;&gt;"",ROW(E$1:E862))))+C863-D863-E863,2),0))</f>
        <v>0</v>
      </c>
    </row>
    <row r="864" spans="1:15" x14ac:dyDescent="0.2">
      <c r="A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 cm="1">
        <f t="array" ref="O864">IF(ISBLANK(E864),0,IFERROR(ROUND(INDEX(E$1:E863,MAX(IF(E$1:E863&lt;&gt;"",ROW(E$1:E863))))+C864-D864-E864,2),0))</f>
        <v>0</v>
      </c>
    </row>
    <row r="865" spans="1:15" x14ac:dyDescent="0.2">
      <c r="A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 cm="1">
        <f t="array" ref="O865">IF(ISBLANK(E865),0,IFERROR(ROUND(INDEX(E$1:E864,MAX(IF(E$1:E864&lt;&gt;"",ROW(E$1:E864))))+C865-D865-E865,2),0))</f>
        <v>0</v>
      </c>
    </row>
    <row r="866" spans="1:15" x14ac:dyDescent="0.2">
      <c r="A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 cm="1">
        <f t="array" ref="O866">IF(ISBLANK(E866),0,IFERROR(ROUND(INDEX(E$1:E865,MAX(IF(E$1:E865&lt;&gt;"",ROW(E$1:E865))))+C866-D866-E866,2),0))</f>
        <v>0</v>
      </c>
    </row>
    <row r="867" spans="1:15" x14ac:dyDescent="0.2">
      <c r="A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 cm="1">
        <f t="array" ref="O867">IF(ISBLANK(E867),0,IFERROR(ROUND(INDEX(E$1:E866,MAX(IF(E$1:E866&lt;&gt;"",ROW(E$1:E866))))+C867-D867-E867,2),0))</f>
        <v>0</v>
      </c>
    </row>
    <row r="868" spans="1:15" x14ac:dyDescent="0.2">
      <c r="A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 cm="1">
        <f t="array" ref="O868">IF(ISBLANK(E868),0,IFERROR(ROUND(INDEX(E$1:E867,MAX(IF(E$1:E867&lt;&gt;"",ROW(E$1:E867))))+C868-D868-E868,2),0))</f>
        <v>0</v>
      </c>
    </row>
    <row r="869" spans="1:15" x14ac:dyDescent="0.2">
      <c r="A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 cm="1">
        <f t="array" ref="O869">IF(ISBLANK(E869),0,IFERROR(ROUND(INDEX(E$1:E868,MAX(IF(E$1:E868&lt;&gt;"",ROW(E$1:E868))))+C869-D869-E869,2),0))</f>
        <v>0</v>
      </c>
    </row>
    <row r="870" spans="1:15" x14ac:dyDescent="0.2">
      <c r="A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 cm="1">
        <f t="array" ref="O870">IF(ISBLANK(E870),0,IFERROR(ROUND(INDEX(E$1:E869,MAX(IF(E$1:E869&lt;&gt;"",ROW(E$1:E869))))+C870-D870-E870,2),0))</f>
        <v>0</v>
      </c>
    </row>
    <row r="871" spans="1:15" x14ac:dyDescent="0.2">
      <c r="A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 cm="1">
        <f t="array" ref="O871">IF(ISBLANK(E871),0,IFERROR(ROUND(INDEX(E$1:E870,MAX(IF(E$1:E870&lt;&gt;"",ROW(E$1:E870))))+C871-D871-E871,2),0))</f>
        <v>0</v>
      </c>
    </row>
    <row r="872" spans="1:15" x14ac:dyDescent="0.2">
      <c r="A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 cm="1">
        <f t="array" ref="O872">IF(ISBLANK(E872),0,IFERROR(ROUND(INDEX(E$1:E871,MAX(IF(E$1:E871&lt;&gt;"",ROW(E$1:E871))))+C872-D872-E872,2),0))</f>
        <v>0</v>
      </c>
    </row>
    <row r="873" spans="1:15" x14ac:dyDescent="0.2">
      <c r="A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 cm="1">
        <f t="array" ref="O873">IF(ISBLANK(E873),0,IFERROR(ROUND(INDEX(E$1:E872,MAX(IF(E$1:E872&lt;&gt;"",ROW(E$1:E872))))+C873-D873-E873,2),0))</f>
        <v>0</v>
      </c>
    </row>
    <row r="874" spans="1:15" x14ac:dyDescent="0.2">
      <c r="A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 cm="1">
        <f t="array" ref="O874">IF(ISBLANK(E874),0,IFERROR(ROUND(INDEX(E$1:E873,MAX(IF(E$1:E873&lt;&gt;"",ROW(E$1:E873))))+C874-D874-E874,2),0))</f>
        <v>0</v>
      </c>
    </row>
    <row r="875" spans="1:15" x14ac:dyDescent="0.2">
      <c r="A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 cm="1">
        <f t="array" ref="O875">IF(ISBLANK(E875),0,IFERROR(ROUND(INDEX(E$1:E874,MAX(IF(E$1:E874&lt;&gt;"",ROW(E$1:E874))))+C875-D875-E875,2),0))</f>
        <v>0</v>
      </c>
    </row>
    <row r="876" spans="1:15" x14ac:dyDescent="0.2">
      <c r="A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 cm="1">
        <f t="array" ref="O876">IF(ISBLANK(E876),0,IFERROR(ROUND(INDEX(E$1:E875,MAX(IF(E$1:E875&lt;&gt;"",ROW(E$1:E875))))+C876-D876-E876,2),0))</f>
        <v>0</v>
      </c>
    </row>
    <row r="877" spans="1:15" x14ac:dyDescent="0.2">
      <c r="A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 cm="1">
        <f t="array" ref="O877">IF(ISBLANK(E877),0,IFERROR(ROUND(INDEX(E$1:E876,MAX(IF(E$1:E876&lt;&gt;"",ROW(E$1:E876))))+C877-D877-E877,2),0))</f>
        <v>0</v>
      </c>
    </row>
    <row r="878" spans="1:15" x14ac:dyDescent="0.2">
      <c r="A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 cm="1">
        <f t="array" ref="O878">IF(ISBLANK(E878),0,IFERROR(ROUND(INDEX(E$1:E877,MAX(IF(E$1:E877&lt;&gt;"",ROW(E$1:E877))))+C878-D878-E878,2),0))</f>
        <v>0</v>
      </c>
    </row>
    <row r="879" spans="1:15" x14ac:dyDescent="0.2">
      <c r="A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 cm="1">
        <f t="array" ref="O879">IF(ISBLANK(E879),0,IFERROR(ROUND(INDEX(E$1:E878,MAX(IF(E$1:E878&lt;&gt;"",ROW(E$1:E878))))+C879-D879-E879,2),0))</f>
        <v>0</v>
      </c>
    </row>
    <row r="880" spans="1:15" x14ac:dyDescent="0.2">
      <c r="A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 cm="1">
        <f t="array" ref="O880">IF(ISBLANK(E880),0,IFERROR(ROUND(INDEX(E$1:E879,MAX(IF(E$1:E879&lt;&gt;"",ROW(E$1:E879))))+C880-D880-E880,2),0))</f>
        <v>0</v>
      </c>
    </row>
    <row r="881" spans="1:15" x14ac:dyDescent="0.2">
      <c r="A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 cm="1">
        <f t="array" ref="O881">IF(ISBLANK(E881),0,IFERROR(ROUND(INDEX(E$1:E880,MAX(IF(E$1:E880&lt;&gt;"",ROW(E$1:E880))))+C881-D881-E881,2),0))</f>
        <v>0</v>
      </c>
    </row>
    <row r="882" spans="1:15" x14ac:dyDescent="0.2">
      <c r="A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 cm="1">
        <f t="array" ref="O882">IF(ISBLANK(E882),0,IFERROR(ROUND(INDEX(E$1:E881,MAX(IF(E$1:E881&lt;&gt;"",ROW(E$1:E881))))+C882-D882-E882,2),0))</f>
        <v>0</v>
      </c>
    </row>
    <row r="883" spans="1:15" x14ac:dyDescent="0.2">
      <c r="A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 cm="1">
        <f t="array" ref="O883">IF(ISBLANK(E883),0,IFERROR(ROUND(INDEX(E$1:E882,MAX(IF(E$1:E882&lt;&gt;"",ROW(E$1:E882))))+C883-D883-E883,2),0))</f>
        <v>0</v>
      </c>
    </row>
    <row r="884" spans="1:15" x14ac:dyDescent="0.2">
      <c r="A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 cm="1">
        <f t="array" ref="O884">IF(ISBLANK(E884),0,IFERROR(ROUND(INDEX(E$1:E883,MAX(IF(E$1:E883&lt;&gt;"",ROW(E$1:E883))))+C884-D884-E884,2),0))</f>
        <v>0</v>
      </c>
    </row>
    <row r="885" spans="1:15" x14ac:dyDescent="0.2">
      <c r="A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 cm="1">
        <f t="array" ref="O885">IF(ISBLANK(E885),0,IFERROR(ROUND(INDEX(E$1:E884,MAX(IF(E$1:E884&lt;&gt;"",ROW(E$1:E884))))+C885-D885-E885,2),0))</f>
        <v>0</v>
      </c>
    </row>
    <row r="886" spans="1:15" x14ac:dyDescent="0.2">
      <c r="A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 cm="1">
        <f t="array" ref="O886">IF(ISBLANK(E886),0,IFERROR(ROUND(INDEX(E$1:E885,MAX(IF(E$1:E885&lt;&gt;"",ROW(E$1:E885))))+C886-D886-E886,2),0))</f>
        <v>0</v>
      </c>
    </row>
    <row r="887" spans="1:15" x14ac:dyDescent="0.2">
      <c r="A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 cm="1">
        <f t="array" ref="O887">IF(ISBLANK(E887),0,IFERROR(ROUND(INDEX(E$1:E886,MAX(IF(E$1:E886&lt;&gt;"",ROW(E$1:E886))))+C887-D887-E887,2),0))</f>
        <v>0</v>
      </c>
    </row>
    <row r="888" spans="1:15" x14ac:dyDescent="0.2">
      <c r="A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 cm="1">
        <f t="array" ref="O888">IF(ISBLANK(E888),0,IFERROR(ROUND(INDEX(E$1:E887,MAX(IF(E$1:E887&lt;&gt;"",ROW(E$1:E887))))+C888-D888-E888,2),0))</f>
        <v>0</v>
      </c>
    </row>
    <row r="889" spans="1:15" x14ac:dyDescent="0.2">
      <c r="A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 cm="1">
        <f t="array" ref="O889">IF(ISBLANK(E889),0,IFERROR(ROUND(INDEX(E$1:E888,MAX(IF(E$1:E888&lt;&gt;"",ROW(E$1:E888))))+C889-D889-E889,2),0))</f>
        <v>0</v>
      </c>
    </row>
    <row r="890" spans="1:15" x14ac:dyDescent="0.2">
      <c r="A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 cm="1">
        <f t="array" ref="O890">IF(ISBLANK(E890),0,IFERROR(ROUND(INDEX(E$1:E889,MAX(IF(E$1:E889&lt;&gt;"",ROW(E$1:E889))))+C890-D890-E890,2),0))</f>
        <v>0</v>
      </c>
    </row>
    <row r="891" spans="1:15" x14ac:dyDescent="0.2">
      <c r="A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 cm="1">
        <f t="array" ref="O891">IF(ISBLANK(E891),0,IFERROR(ROUND(INDEX(E$1:E890,MAX(IF(E$1:E890&lt;&gt;"",ROW(E$1:E890))))+C891-D891-E891,2),0))</f>
        <v>0</v>
      </c>
    </row>
    <row r="892" spans="1:15" x14ac:dyDescent="0.2">
      <c r="A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 cm="1">
        <f t="array" ref="O892">IF(ISBLANK(E892),0,IFERROR(ROUND(INDEX(E$1:E891,MAX(IF(E$1:E891&lt;&gt;"",ROW(E$1:E891))))+C892-D892-E892,2),0))</f>
        <v>0</v>
      </c>
    </row>
    <row r="893" spans="1:15" x14ac:dyDescent="0.2">
      <c r="A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 cm="1">
        <f t="array" ref="O893">IF(ISBLANK(E893),0,IFERROR(ROUND(INDEX(E$1:E892,MAX(IF(E$1:E892&lt;&gt;"",ROW(E$1:E892))))+C893-D893-E893,2),0))</f>
        <v>0</v>
      </c>
    </row>
    <row r="894" spans="1:15" x14ac:dyDescent="0.2">
      <c r="A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 cm="1">
        <f t="array" ref="O894">IF(ISBLANK(E894),0,IFERROR(ROUND(INDEX(E$1:E893,MAX(IF(E$1:E893&lt;&gt;"",ROW(E$1:E893))))+C894-D894-E894,2),0))</f>
        <v>0</v>
      </c>
    </row>
    <row r="895" spans="1:15" x14ac:dyDescent="0.2">
      <c r="A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 cm="1">
        <f t="array" ref="O895">IF(ISBLANK(E895),0,IFERROR(ROUND(INDEX(E$1:E894,MAX(IF(E$1:E894&lt;&gt;"",ROW(E$1:E894))))+C895-D895-E895,2),0))</f>
        <v>0</v>
      </c>
    </row>
    <row r="896" spans="1:15" x14ac:dyDescent="0.2">
      <c r="A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 cm="1">
        <f t="array" ref="O896">IF(ISBLANK(E896),0,IFERROR(ROUND(INDEX(E$1:E895,MAX(IF(E$1:E895&lt;&gt;"",ROW(E$1:E895))))+C896-D896-E896,2),0))</f>
        <v>0</v>
      </c>
    </row>
    <row r="897" spans="1:15" x14ac:dyDescent="0.2">
      <c r="A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 cm="1">
        <f t="array" ref="O897">IF(ISBLANK(E897),0,IFERROR(ROUND(INDEX(E$1:E896,MAX(IF(E$1:E896&lt;&gt;"",ROW(E$1:E896))))+C897-D897-E897,2),0))</f>
        <v>0</v>
      </c>
    </row>
    <row r="898" spans="1:15" x14ac:dyDescent="0.2">
      <c r="A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 cm="1">
        <f t="array" ref="O898">IF(ISBLANK(E898),0,IFERROR(ROUND(INDEX(E$1:E897,MAX(IF(E$1:E897&lt;&gt;"",ROW(E$1:E897))))+C898-D898-E898,2),0))</f>
        <v>0</v>
      </c>
    </row>
    <row r="899" spans="1:15" x14ac:dyDescent="0.2">
      <c r="A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 cm="1">
        <f t="array" ref="O899">IF(ISBLANK(E899),0,IFERROR(ROUND(INDEX(E$1:E898,MAX(IF(E$1:E898&lt;&gt;"",ROW(E$1:E898))))+C899-D899-E899,2),0))</f>
        <v>0</v>
      </c>
    </row>
    <row r="900" spans="1:15" x14ac:dyDescent="0.2">
      <c r="A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 cm="1">
        <f t="array" ref="O900">IF(ISBLANK(E900),0,IFERROR(ROUND(INDEX(E$1:E899,MAX(IF(E$1:E899&lt;&gt;"",ROW(E$1:E899))))+C900-D900-E900,2),0))</f>
        <v>0</v>
      </c>
    </row>
    <row r="901" spans="1:15" x14ac:dyDescent="0.2">
      <c r="A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 cm="1">
        <f t="array" ref="O901">IF(ISBLANK(E901),0,IFERROR(ROUND(INDEX(E$1:E900,MAX(IF(E$1:E900&lt;&gt;"",ROW(E$1:E900))))+C901-D901-E901,2),0))</f>
        <v>0</v>
      </c>
    </row>
    <row r="902" spans="1:15" x14ac:dyDescent="0.2">
      <c r="A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 cm="1">
        <f t="array" ref="O902">IF(ISBLANK(E902),0,IFERROR(ROUND(INDEX(E$1:E901,MAX(IF(E$1:E901&lt;&gt;"",ROW(E$1:E901))))+C902-D902-E902,2),0))</f>
        <v>0</v>
      </c>
    </row>
    <row r="903" spans="1:15" x14ac:dyDescent="0.2">
      <c r="A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 cm="1">
        <f t="array" ref="O903">IF(ISBLANK(E903),0,IFERROR(ROUND(INDEX(E$1:E902,MAX(IF(E$1:E902&lt;&gt;"",ROW(E$1:E902))))+C903-D903-E903,2),0))</f>
        <v>0</v>
      </c>
    </row>
    <row r="904" spans="1:15" x14ac:dyDescent="0.2">
      <c r="A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 cm="1">
        <f t="array" ref="O904">IF(ISBLANK(E904),0,IFERROR(ROUND(INDEX(E$1:E903,MAX(IF(E$1:E903&lt;&gt;"",ROW(E$1:E903))))+C904-D904-E904,2),0))</f>
        <v>0</v>
      </c>
    </row>
    <row r="905" spans="1:15" x14ac:dyDescent="0.2">
      <c r="A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 cm="1">
        <f t="array" ref="O905">IF(ISBLANK(E905),0,IFERROR(ROUND(INDEX(E$1:E904,MAX(IF(E$1:E904&lt;&gt;"",ROW(E$1:E904))))+C905-D905-E905,2),0))</f>
        <v>0</v>
      </c>
    </row>
    <row r="906" spans="1:15" x14ac:dyDescent="0.2">
      <c r="A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 cm="1">
        <f t="array" ref="O906">IF(ISBLANK(E906),0,IFERROR(ROUND(INDEX(E$1:E905,MAX(IF(E$1:E905&lt;&gt;"",ROW(E$1:E905))))+C906-D906-E906,2),0))</f>
        <v>0</v>
      </c>
    </row>
    <row r="907" spans="1:15" x14ac:dyDescent="0.2">
      <c r="A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 cm="1">
        <f t="array" ref="O907">IF(ISBLANK(E907),0,IFERROR(ROUND(INDEX(E$1:E906,MAX(IF(E$1:E906&lt;&gt;"",ROW(E$1:E906))))+C907-D907-E907,2),0))</f>
        <v>0</v>
      </c>
    </row>
    <row r="908" spans="1:15" x14ac:dyDescent="0.2">
      <c r="A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 cm="1">
        <f t="array" ref="O908">IF(ISBLANK(E908),0,IFERROR(ROUND(INDEX(E$1:E907,MAX(IF(E$1:E907&lt;&gt;"",ROW(E$1:E907))))+C908-D908-E908,2),0))</f>
        <v>0</v>
      </c>
    </row>
    <row r="909" spans="1:15" x14ac:dyDescent="0.2">
      <c r="A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 cm="1">
        <f t="array" ref="O909">IF(ISBLANK(E909),0,IFERROR(ROUND(INDEX(E$1:E908,MAX(IF(E$1:E908&lt;&gt;"",ROW(E$1:E908))))+C909-D909-E909,2),0))</f>
        <v>0</v>
      </c>
    </row>
    <row r="910" spans="1:15" x14ac:dyDescent="0.2">
      <c r="A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 cm="1">
        <f t="array" ref="O910">IF(ISBLANK(E910),0,IFERROR(ROUND(INDEX(E$1:E909,MAX(IF(E$1:E909&lt;&gt;"",ROW(E$1:E909))))+C910-D910-E910,2),0))</f>
        <v>0</v>
      </c>
    </row>
    <row r="911" spans="1:15" x14ac:dyDescent="0.2">
      <c r="A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 cm="1">
        <f t="array" ref="O911">IF(ISBLANK(E911),0,IFERROR(ROUND(INDEX(E$1:E910,MAX(IF(E$1:E910&lt;&gt;"",ROW(E$1:E910))))+C911-D911-E911,2),0))</f>
        <v>0</v>
      </c>
    </row>
    <row r="912" spans="1:15" x14ac:dyDescent="0.2">
      <c r="A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 cm="1">
        <f t="array" ref="O912">IF(ISBLANK(E912),0,IFERROR(ROUND(INDEX(E$1:E911,MAX(IF(E$1:E911&lt;&gt;"",ROW(E$1:E911))))+C912-D912-E912,2),0))</f>
        <v>0</v>
      </c>
    </row>
    <row r="913" spans="1:15" x14ac:dyDescent="0.2">
      <c r="A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 cm="1">
        <f t="array" ref="O913">IF(ISBLANK(E913),0,IFERROR(ROUND(INDEX(E$1:E912,MAX(IF(E$1:E912&lt;&gt;"",ROW(E$1:E912))))+C913-D913-E913,2),0))</f>
        <v>0</v>
      </c>
    </row>
    <row r="914" spans="1:15" x14ac:dyDescent="0.2">
      <c r="A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 cm="1">
        <f t="array" ref="O914">IF(ISBLANK(E914),0,IFERROR(ROUND(INDEX(E$1:E913,MAX(IF(E$1:E913&lt;&gt;"",ROW(E$1:E913))))+C914-D914-E914,2),0))</f>
        <v>0</v>
      </c>
    </row>
    <row r="915" spans="1:15" x14ac:dyDescent="0.2">
      <c r="A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 cm="1">
        <f t="array" ref="O915">IF(ISBLANK(E915),0,IFERROR(ROUND(INDEX(E$1:E914,MAX(IF(E$1:E914&lt;&gt;"",ROW(E$1:E914))))+C915-D915-E915,2),0))</f>
        <v>0</v>
      </c>
    </row>
    <row r="916" spans="1:15" x14ac:dyDescent="0.2">
      <c r="A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 cm="1">
        <f t="array" ref="O916">IF(ISBLANK(E916),0,IFERROR(ROUND(INDEX(E$1:E915,MAX(IF(E$1:E915&lt;&gt;"",ROW(E$1:E915))))+C916-D916-E916,2),0))</f>
        <v>0</v>
      </c>
    </row>
    <row r="917" spans="1:15" x14ac:dyDescent="0.2">
      <c r="A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 cm="1">
        <f t="array" ref="O917">IF(ISBLANK(E917),0,IFERROR(ROUND(INDEX(E$1:E916,MAX(IF(E$1:E916&lt;&gt;"",ROW(E$1:E916))))+C917-D917-E917,2),0))</f>
        <v>0</v>
      </c>
    </row>
    <row r="918" spans="1:15" x14ac:dyDescent="0.2">
      <c r="A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 cm="1">
        <f t="array" ref="O918">IF(ISBLANK(E918),0,IFERROR(ROUND(INDEX(E$1:E917,MAX(IF(E$1:E917&lt;&gt;"",ROW(E$1:E917))))+C918-D918-E918,2),0))</f>
        <v>0</v>
      </c>
    </row>
    <row r="919" spans="1:15" x14ac:dyDescent="0.2">
      <c r="A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 cm="1">
        <f t="array" ref="O919">IF(ISBLANK(E919),0,IFERROR(ROUND(INDEX(E$1:E918,MAX(IF(E$1:E918&lt;&gt;"",ROW(E$1:E918))))+C919-D919-E919,2),0))</f>
        <v>0</v>
      </c>
    </row>
    <row r="920" spans="1:15" x14ac:dyDescent="0.2">
      <c r="A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 cm="1">
        <f t="array" ref="O920">IF(ISBLANK(E920),0,IFERROR(ROUND(INDEX(E$1:E919,MAX(IF(E$1:E919&lt;&gt;"",ROW(E$1:E919))))+C920-D920-E920,2),0))</f>
        <v>0</v>
      </c>
    </row>
    <row r="921" spans="1:15" x14ac:dyDescent="0.2">
      <c r="A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 cm="1">
        <f t="array" ref="O921">IF(ISBLANK(E921),0,IFERROR(ROUND(INDEX(E$1:E920,MAX(IF(E$1:E920&lt;&gt;"",ROW(E$1:E920))))+C921-D921-E921,2),0))</f>
        <v>0</v>
      </c>
    </row>
    <row r="922" spans="1:15" x14ac:dyDescent="0.2">
      <c r="A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 cm="1">
        <f t="array" ref="O922">IF(ISBLANK(E922),0,IFERROR(ROUND(INDEX(E$1:E921,MAX(IF(E$1:E921&lt;&gt;"",ROW(E$1:E921))))+C922-D922-E922,2),0))</f>
        <v>0</v>
      </c>
    </row>
    <row r="923" spans="1:15" x14ac:dyDescent="0.2">
      <c r="A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 cm="1">
        <f t="array" ref="O923">IF(ISBLANK(E923),0,IFERROR(ROUND(INDEX(E$1:E922,MAX(IF(E$1:E922&lt;&gt;"",ROW(E$1:E922))))+C923-D923-E923,2),0))</f>
        <v>0</v>
      </c>
    </row>
    <row r="924" spans="1:15" x14ac:dyDescent="0.2">
      <c r="A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 cm="1">
        <f t="array" ref="O924">IF(ISBLANK(E924),0,IFERROR(ROUND(INDEX(E$1:E923,MAX(IF(E$1:E923&lt;&gt;"",ROW(E$1:E923))))+C924-D924-E924,2),0))</f>
        <v>0</v>
      </c>
    </row>
    <row r="925" spans="1:15" x14ac:dyDescent="0.2">
      <c r="A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 cm="1">
        <f t="array" ref="O925">IF(ISBLANK(E925),0,IFERROR(ROUND(INDEX(E$1:E924,MAX(IF(E$1:E924&lt;&gt;"",ROW(E$1:E924))))+C925-D925-E925,2),0))</f>
        <v>0</v>
      </c>
    </row>
    <row r="926" spans="1:15" x14ac:dyDescent="0.2">
      <c r="A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 cm="1">
        <f t="array" ref="O926">IF(ISBLANK(E926),0,IFERROR(ROUND(INDEX(E$1:E925,MAX(IF(E$1:E925&lt;&gt;"",ROW(E$1:E925))))+C926-D926-E926,2),0))</f>
        <v>0</v>
      </c>
    </row>
    <row r="927" spans="1:15" x14ac:dyDescent="0.2">
      <c r="A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 cm="1">
        <f t="array" ref="O927">IF(ISBLANK(E927),0,IFERROR(ROUND(INDEX(E$1:E926,MAX(IF(E$1:E926&lt;&gt;"",ROW(E$1:E926))))+C927-D927-E927,2),0))</f>
        <v>0</v>
      </c>
    </row>
    <row r="928" spans="1:15" x14ac:dyDescent="0.2">
      <c r="A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 cm="1">
        <f t="array" ref="O928">IF(ISBLANK(E928),0,IFERROR(ROUND(INDEX(E$1:E927,MAX(IF(E$1:E927&lt;&gt;"",ROW(E$1:E927))))+C928-D928-E928,2),0))</f>
        <v>0</v>
      </c>
    </row>
    <row r="929" spans="1:15" x14ac:dyDescent="0.2">
      <c r="A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 cm="1">
        <f t="array" ref="O929">IF(ISBLANK(E929),0,IFERROR(ROUND(INDEX(E$1:E928,MAX(IF(E$1:E928&lt;&gt;"",ROW(E$1:E928))))+C929-D929-E929,2),0))</f>
        <v>0</v>
      </c>
    </row>
    <row r="930" spans="1:15" x14ac:dyDescent="0.2">
      <c r="A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 cm="1">
        <f t="array" ref="O930">IF(ISBLANK(E930),0,IFERROR(ROUND(INDEX(E$1:E929,MAX(IF(E$1:E929&lt;&gt;"",ROW(E$1:E929))))+C930-D930-E930,2),0))</f>
        <v>0</v>
      </c>
    </row>
    <row r="931" spans="1:15" x14ac:dyDescent="0.2">
      <c r="A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 cm="1">
        <f t="array" ref="O931">IF(ISBLANK(E931),0,IFERROR(ROUND(INDEX(E$1:E930,MAX(IF(E$1:E930&lt;&gt;"",ROW(E$1:E930))))+C931-D931-E931,2),0))</f>
        <v>0</v>
      </c>
    </row>
    <row r="932" spans="1:15" x14ac:dyDescent="0.2">
      <c r="A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 cm="1">
        <f t="array" ref="O932">IF(ISBLANK(E932),0,IFERROR(ROUND(INDEX(E$1:E931,MAX(IF(E$1:E931&lt;&gt;"",ROW(E$1:E931))))+C932-D932-E932,2),0))</f>
        <v>0</v>
      </c>
    </row>
    <row r="933" spans="1:15" x14ac:dyDescent="0.2">
      <c r="A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 cm="1">
        <f t="array" ref="O933">IF(ISBLANK(E933),0,IFERROR(ROUND(INDEX(E$1:E932,MAX(IF(E$1:E932&lt;&gt;"",ROW(E$1:E932))))+C933-D933-E933,2),0))</f>
        <v>0</v>
      </c>
    </row>
    <row r="934" spans="1:15" x14ac:dyDescent="0.2">
      <c r="A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 cm="1">
        <f t="array" ref="O934">IF(ISBLANK(E934),0,IFERROR(ROUND(INDEX(E$1:E933,MAX(IF(E$1:E933&lt;&gt;"",ROW(E$1:E933))))+C934-D934-E934,2),0))</f>
        <v>0</v>
      </c>
    </row>
    <row r="935" spans="1:15" x14ac:dyDescent="0.2">
      <c r="A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 cm="1">
        <f t="array" ref="O935">IF(ISBLANK(E935),0,IFERROR(ROUND(INDEX(E$1:E934,MAX(IF(E$1:E934&lt;&gt;"",ROW(E$1:E934))))+C935-D935-E935,2),0))</f>
        <v>0</v>
      </c>
    </row>
    <row r="936" spans="1:15" x14ac:dyDescent="0.2">
      <c r="A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 cm="1">
        <f t="array" ref="O936">IF(ISBLANK(E936),0,IFERROR(ROUND(INDEX(E$1:E935,MAX(IF(E$1:E935&lt;&gt;"",ROW(E$1:E935))))+C936-D936-E936,2),0))</f>
        <v>0</v>
      </c>
    </row>
    <row r="937" spans="1:15" x14ac:dyDescent="0.2">
      <c r="A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 cm="1">
        <f t="array" ref="O937">IF(ISBLANK(E937),0,IFERROR(ROUND(INDEX(E$1:E936,MAX(IF(E$1:E936&lt;&gt;"",ROW(E$1:E936))))+C937-D937-E937,2),0))</f>
        <v>0</v>
      </c>
    </row>
    <row r="938" spans="1:15" x14ac:dyDescent="0.2">
      <c r="A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 cm="1">
        <f t="array" ref="O938">IF(ISBLANK(E938),0,IFERROR(ROUND(INDEX(E$1:E937,MAX(IF(E$1:E937&lt;&gt;"",ROW(E$1:E937))))+C938-D938-E938,2),0))</f>
        <v>0</v>
      </c>
    </row>
    <row r="939" spans="1:15" x14ac:dyDescent="0.2">
      <c r="A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 cm="1">
        <f t="array" ref="O939">IF(ISBLANK(E939),0,IFERROR(ROUND(INDEX(E$1:E938,MAX(IF(E$1:E938&lt;&gt;"",ROW(E$1:E938))))+C939-D939-E939,2),0))</f>
        <v>0</v>
      </c>
    </row>
    <row r="940" spans="1:15" x14ac:dyDescent="0.2">
      <c r="A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 cm="1">
        <f t="array" ref="O940">IF(ISBLANK(E940),0,IFERROR(ROUND(INDEX(E$1:E939,MAX(IF(E$1:E939&lt;&gt;"",ROW(E$1:E939))))+C940-D940-E940,2),0))</f>
        <v>0</v>
      </c>
    </row>
    <row r="941" spans="1:15" x14ac:dyDescent="0.2">
      <c r="A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 cm="1">
        <f t="array" ref="O941">IF(ISBLANK(E941),0,IFERROR(ROUND(INDEX(E$1:E940,MAX(IF(E$1:E940&lt;&gt;"",ROW(E$1:E940))))+C941-D941-E941,2),0))</f>
        <v>0</v>
      </c>
    </row>
    <row r="942" spans="1:15" x14ac:dyDescent="0.2">
      <c r="A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 cm="1">
        <f t="array" ref="O942">IF(ISBLANK(E942),0,IFERROR(ROUND(INDEX(E$1:E941,MAX(IF(E$1:E941&lt;&gt;"",ROW(E$1:E941))))+C942-D942-E942,2),0))</f>
        <v>0</v>
      </c>
    </row>
    <row r="943" spans="1:15" x14ac:dyDescent="0.2">
      <c r="A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 cm="1">
        <f t="array" ref="O943">IF(ISBLANK(E943),0,IFERROR(ROUND(INDEX(E$1:E942,MAX(IF(E$1:E942&lt;&gt;"",ROW(E$1:E942))))+C943-D943-E943,2),0))</f>
        <v>0</v>
      </c>
    </row>
    <row r="944" spans="1:15" x14ac:dyDescent="0.2">
      <c r="A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 cm="1">
        <f t="array" ref="O944">IF(ISBLANK(E944),0,IFERROR(ROUND(INDEX(E$1:E943,MAX(IF(E$1:E943&lt;&gt;"",ROW(E$1:E943))))+C944-D944-E944,2),0))</f>
        <v>0</v>
      </c>
    </row>
    <row r="945" spans="1:15" x14ac:dyDescent="0.2">
      <c r="A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 cm="1">
        <f t="array" ref="O945">IF(ISBLANK(E945),0,IFERROR(ROUND(INDEX(E$1:E944,MAX(IF(E$1:E944&lt;&gt;"",ROW(E$1:E944))))+C945-D945-E945,2),0))</f>
        <v>0</v>
      </c>
    </row>
    <row r="946" spans="1:15" x14ac:dyDescent="0.2">
      <c r="A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 cm="1">
        <f t="array" ref="O946">IF(ISBLANK(E946),0,IFERROR(ROUND(INDEX(E$1:E945,MAX(IF(E$1:E945&lt;&gt;"",ROW(E$1:E945))))+C946-D946-E946,2),0))</f>
        <v>0</v>
      </c>
    </row>
    <row r="947" spans="1:15" x14ac:dyDescent="0.2">
      <c r="A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 cm="1">
        <f t="array" ref="O947">IF(ISBLANK(E947),0,IFERROR(ROUND(INDEX(E$1:E946,MAX(IF(E$1:E946&lt;&gt;"",ROW(E$1:E946))))+C947-D947-E947,2),0))</f>
        <v>0</v>
      </c>
    </row>
    <row r="948" spans="1:15" x14ac:dyDescent="0.2">
      <c r="A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 cm="1">
        <f t="array" ref="O948">IF(ISBLANK(E948),0,IFERROR(ROUND(INDEX(E$1:E947,MAX(IF(E$1:E947&lt;&gt;"",ROW(E$1:E947))))+C948-D948-E948,2),0))</f>
        <v>0</v>
      </c>
    </row>
    <row r="949" spans="1:15" x14ac:dyDescent="0.2">
      <c r="A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 cm="1">
        <f t="array" ref="O949">IF(ISBLANK(E949),0,IFERROR(ROUND(INDEX(E$1:E948,MAX(IF(E$1:E948&lt;&gt;"",ROW(E$1:E948))))+C949-D949-E949,2),0))</f>
        <v>0</v>
      </c>
    </row>
    <row r="950" spans="1:15" x14ac:dyDescent="0.2">
      <c r="A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 cm="1">
        <f t="array" ref="O950">IF(ISBLANK(E950),0,IFERROR(ROUND(INDEX(E$1:E949,MAX(IF(E$1:E949&lt;&gt;"",ROW(E$1:E949))))+C950-D950-E950,2),0))</f>
        <v>0</v>
      </c>
    </row>
    <row r="951" spans="1:15" x14ac:dyDescent="0.2">
      <c r="A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 cm="1">
        <f t="array" ref="O951">IF(ISBLANK(E951),0,IFERROR(ROUND(INDEX(E$1:E950,MAX(IF(E$1:E950&lt;&gt;"",ROW(E$1:E950))))+C951-D951-E951,2),0))</f>
        <v>0</v>
      </c>
    </row>
    <row r="952" spans="1:15" x14ac:dyDescent="0.2">
      <c r="A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 cm="1">
        <f t="array" ref="O952">IF(ISBLANK(E952),0,IFERROR(ROUND(INDEX(E$1:E951,MAX(IF(E$1:E951&lt;&gt;"",ROW(E$1:E951))))+C952-D952-E952,2),0))</f>
        <v>0</v>
      </c>
    </row>
    <row r="953" spans="1:15" x14ac:dyDescent="0.2">
      <c r="A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 cm="1">
        <f t="array" ref="O953">IF(ISBLANK(E953),0,IFERROR(ROUND(INDEX(E$1:E952,MAX(IF(E$1:E952&lt;&gt;"",ROW(E$1:E952))))+C953-D953-E953,2),0))</f>
        <v>0</v>
      </c>
    </row>
    <row r="954" spans="1:15" x14ac:dyDescent="0.2">
      <c r="A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 cm="1">
        <f t="array" ref="O954">IF(ISBLANK(E954),0,IFERROR(ROUND(INDEX(E$1:E953,MAX(IF(E$1:E953&lt;&gt;"",ROW(E$1:E953))))+C954-D954-E954,2),0))</f>
        <v>0</v>
      </c>
    </row>
    <row r="955" spans="1:15" x14ac:dyDescent="0.2">
      <c r="A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 cm="1">
        <f t="array" ref="O955">IF(ISBLANK(E955),0,IFERROR(ROUND(INDEX(E$1:E954,MAX(IF(E$1:E954&lt;&gt;"",ROW(E$1:E954))))+C955-D955-E955,2),0))</f>
        <v>0</v>
      </c>
    </row>
    <row r="956" spans="1:15" x14ac:dyDescent="0.2">
      <c r="A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 cm="1">
        <f t="array" ref="O956">IF(ISBLANK(E956),0,IFERROR(ROUND(INDEX(E$1:E955,MAX(IF(E$1:E955&lt;&gt;"",ROW(E$1:E955))))+C956-D956-E956,2),0))</f>
        <v>0</v>
      </c>
    </row>
    <row r="957" spans="1:15" x14ac:dyDescent="0.2">
      <c r="A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 cm="1">
        <f t="array" ref="O957">IF(ISBLANK(E957),0,IFERROR(ROUND(INDEX(E$1:E956,MAX(IF(E$1:E956&lt;&gt;"",ROW(E$1:E956))))+C957-D957-E957,2),0))</f>
        <v>0</v>
      </c>
    </row>
    <row r="958" spans="1:15" x14ac:dyDescent="0.2">
      <c r="A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 cm="1">
        <f t="array" ref="O958">IF(ISBLANK(E958),0,IFERROR(ROUND(INDEX(E$1:E957,MAX(IF(E$1:E957&lt;&gt;"",ROW(E$1:E957))))+C958-D958-E958,2),0))</f>
        <v>0</v>
      </c>
    </row>
    <row r="959" spans="1:15" x14ac:dyDescent="0.2">
      <c r="A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 cm="1">
        <f t="array" ref="O959">IF(ISBLANK(E959),0,IFERROR(ROUND(INDEX(E$1:E958,MAX(IF(E$1:E958&lt;&gt;"",ROW(E$1:E958))))+C959-D959-E959,2),0))</f>
        <v>0</v>
      </c>
    </row>
    <row r="960" spans="1:15" x14ac:dyDescent="0.2">
      <c r="A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 cm="1">
        <f t="array" ref="O960">IF(ISBLANK(E960),0,IFERROR(ROUND(INDEX(E$1:E959,MAX(IF(E$1:E959&lt;&gt;"",ROW(E$1:E959))))+C960-D960-E960,2),0))</f>
        <v>0</v>
      </c>
    </row>
    <row r="961" spans="1:15" x14ac:dyDescent="0.2">
      <c r="A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 cm="1">
        <f t="array" ref="O961">IF(ISBLANK(E961),0,IFERROR(ROUND(INDEX(E$1:E960,MAX(IF(E$1:E960&lt;&gt;"",ROW(E$1:E960))))+C961-D961-E961,2),0))</f>
        <v>0</v>
      </c>
    </row>
    <row r="962" spans="1:15" x14ac:dyDescent="0.2">
      <c r="A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 cm="1">
        <f t="array" ref="O962">IF(ISBLANK(E962),0,IFERROR(ROUND(INDEX(E$1:E961,MAX(IF(E$1:E961&lt;&gt;"",ROW(E$1:E961))))+C962-D962-E962,2),0))</f>
        <v>0</v>
      </c>
    </row>
    <row r="963" spans="1:15" x14ac:dyDescent="0.2">
      <c r="A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 cm="1">
        <f t="array" ref="O963">IF(ISBLANK(E963),0,IFERROR(ROUND(INDEX(E$1:E962,MAX(IF(E$1:E962&lt;&gt;"",ROW(E$1:E962))))+C963-D963-E963,2),0))</f>
        <v>0</v>
      </c>
    </row>
    <row r="964" spans="1:15" x14ac:dyDescent="0.2">
      <c r="A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 cm="1">
        <f t="array" ref="O964">IF(ISBLANK(E964),0,IFERROR(ROUND(INDEX(E$1:E963,MAX(IF(E$1:E963&lt;&gt;"",ROW(E$1:E963))))+C964-D964-E964,2),0))</f>
        <v>0</v>
      </c>
    </row>
    <row r="965" spans="1:15" x14ac:dyDescent="0.2">
      <c r="A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 cm="1">
        <f t="array" ref="O965">IF(ISBLANK(E965),0,IFERROR(ROUND(INDEX(E$1:E964,MAX(IF(E$1:E964&lt;&gt;"",ROW(E$1:E964))))+C965-D965-E965,2),0))</f>
        <v>0</v>
      </c>
    </row>
    <row r="966" spans="1:15" x14ac:dyDescent="0.2">
      <c r="A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 cm="1">
        <f t="array" ref="O966">IF(ISBLANK(E966),0,IFERROR(ROUND(INDEX(E$1:E965,MAX(IF(E$1:E965&lt;&gt;"",ROW(E$1:E965))))+C966-D966-E966,2),0))</f>
        <v>0</v>
      </c>
    </row>
    <row r="967" spans="1:15" x14ac:dyDescent="0.2">
      <c r="A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 cm="1">
        <f t="array" ref="O967">IF(ISBLANK(E967),0,IFERROR(ROUND(INDEX(E$1:E966,MAX(IF(E$1:E966&lt;&gt;"",ROW(E$1:E966))))+C967-D967-E967,2),0))</f>
        <v>0</v>
      </c>
    </row>
    <row r="968" spans="1:15" x14ac:dyDescent="0.2">
      <c r="A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 cm="1">
        <f t="array" ref="O968">IF(ISBLANK(E968),0,IFERROR(ROUND(INDEX(E$1:E967,MAX(IF(E$1:E967&lt;&gt;"",ROW(E$1:E967))))+C968-D968-E968,2),0))</f>
        <v>0</v>
      </c>
    </row>
    <row r="969" spans="1:15" x14ac:dyDescent="0.2">
      <c r="A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 cm="1">
        <f t="array" ref="O969">IF(ISBLANK(E969),0,IFERROR(ROUND(INDEX(E$1:E968,MAX(IF(E$1:E968&lt;&gt;"",ROW(E$1:E968))))+C969-D969-E969,2),0))</f>
        <v>0</v>
      </c>
    </row>
    <row r="970" spans="1:15" x14ac:dyDescent="0.2">
      <c r="A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 cm="1">
        <f t="array" ref="O970">IF(ISBLANK(E970),0,IFERROR(ROUND(INDEX(E$1:E969,MAX(IF(E$1:E969&lt;&gt;"",ROW(E$1:E969))))+C970-D970-E970,2),0))</f>
        <v>0</v>
      </c>
    </row>
    <row r="971" spans="1:15" x14ac:dyDescent="0.2">
      <c r="A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 cm="1">
        <f t="array" ref="O971">IF(ISBLANK(E971),0,IFERROR(ROUND(INDEX(E$1:E970,MAX(IF(E$1:E970&lt;&gt;"",ROW(E$1:E970))))+C971-D971-E971,2),0))</f>
        <v>0</v>
      </c>
    </row>
    <row r="972" spans="1:15" x14ac:dyDescent="0.2">
      <c r="A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 cm="1">
        <f t="array" ref="O972">IF(ISBLANK(E972),0,IFERROR(ROUND(INDEX(E$1:E971,MAX(IF(E$1:E971&lt;&gt;"",ROW(E$1:E971))))+C972-D972-E972,2),0))</f>
        <v>0</v>
      </c>
    </row>
    <row r="973" spans="1:15" x14ac:dyDescent="0.2">
      <c r="A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 cm="1">
        <f t="array" ref="O973">IF(ISBLANK(E973),0,IFERROR(ROUND(INDEX(E$1:E972,MAX(IF(E$1:E972&lt;&gt;"",ROW(E$1:E972))))+C973-D973-E973,2),0))</f>
        <v>0</v>
      </c>
    </row>
    <row r="974" spans="1:15" x14ac:dyDescent="0.2">
      <c r="A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 cm="1">
        <f t="array" ref="O974">IF(ISBLANK(E974),0,IFERROR(ROUND(INDEX(E$1:E973,MAX(IF(E$1:E973&lt;&gt;"",ROW(E$1:E973))))+C974-D974-E974,2),0))</f>
        <v>0</v>
      </c>
    </row>
    <row r="975" spans="1:15" x14ac:dyDescent="0.2">
      <c r="A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 cm="1">
        <f t="array" ref="O975">IF(ISBLANK(E975),0,IFERROR(ROUND(INDEX(E$1:E974,MAX(IF(E$1:E974&lt;&gt;"",ROW(E$1:E974))))+C975-D975-E975,2),0))</f>
        <v>0</v>
      </c>
    </row>
    <row r="976" spans="1:15" x14ac:dyDescent="0.2">
      <c r="A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 cm="1">
        <f t="array" ref="O976">IF(ISBLANK(E976),0,IFERROR(ROUND(INDEX(E$1:E975,MAX(IF(E$1:E975&lt;&gt;"",ROW(E$1:E975))))+C976-D976-E976,2),0))</f>
        <v>0</v>
      </c>
    </row>
    <row r="977" spans="1:15" x14ac:dyDescent="0.2">
      <c r="A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 cm="1">
        <f t="array" ref="O977">IF(ISBLANK(E977),0,IFERROR(ROUND(INDEX(E$1:E976,MAX(IF(E$1:E976&lt;&gt;"",ROW(E$1:E976))))+C977-D977-E977,2),0))</f>
        <v>0</v>
      </c>
    </row>
    <row r="978" spans="1:15" x14ac:dyDescent="0.2">
      <c r="A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 cm="1">
        <f t="array" ref="O978">IF(ISBLANK(E978),0,IFERROR(ROUND(INDEX(E$1:E977,MAX(IF(E$1:E977&lt;&gt;"",ROW(E$1:E977))))+C978-D978-E978,2),0))</f>
        <v>0</v>
      </c>
    </row>
    <row r="979" spans="1:15" x14ac:dyDescent="0.2">
      <c r="A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 cm="1">
        <f t="array" ref="O979">IF(ISBLANK(E979),0,IFERROR(ROUND(INDEX(E$1:E978,MAX(IF(E$1:E978&lt;&gt;"",ROW(E$1:E978))))+C979-D979-E979,2),0))</f>
        <v>0</v>
      </c>
    </row>
    <row r="980" spans="1:15" x14ac:dyDescent="0.2">
      <c r="A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 cm="1">
        <f t="array" ref="O980">IF(ISBLANK(E980),0,IFERROR(ROUND(INDEX(E$1:E979,MAX(IF(E$1:E979&lt;&gt;"",ROW(E$1:E979))))+C980-D980-E980,2),0))</f>
        <v>0</v>
      </c>
    </row>
    <row r="981" spans="1:15" x14ac:dyDescent="0.2">
      <c r="A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 cm="1">
        <f t="array" ref="O981">IF(ISBLANK(E981),0,IFERROR(ROUND(INDEX(E$1:E980,MAX(IF(E$1:E980&lt;&gt;"",ROW(E$1:E980))))+C981-D981-E981,2),0))</f>
        <v>0</v>
      </c>
    </row>
    <row r="982" spans="1:15" x14ac:dyDescent="0.2">
      <c r="A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 cm="1">
        <f t="array" ref="O982">IF(ISBLANK(E982),0,IFERROR(ROUND(INDEX(E$1:E981,MAX(IF(E$1:E981&lt;&gt;"",ROW(E$1:E981))))+C982-D982-E982,2),0))</f>
        <v>0</v>
      </c>
    </row>
    <row r="983" spans="1:15" x14ac:dyDescent="0.2">
      <c r="A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 cm="1">
        <f t="array" ref="O983">IF(ISBLANK(E983),0,IFERROR(ROUND(INDEX(E$1:E982,MAX(IF(E$1:E982&lt;&gt;"",ROW(E$1:E982))))+C983-D983-E983,2),0))</f>
        <v>0</v>
      </c>
    </row>
    <row r="984" spans="1:15" x14ac:dyDescent="0.2">
      <c r="A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 cm="1">
        <f t="array" ref="O984">IF(ISBLANK(E984),0,IFERROR(ROUND(INDEX(E$1:E983,MAX(IF(E$1:E983&lt;&gt;"",ROW(E$1:E983))))+C984-D984-E984,2),0))</f>
        <v>0</v>
      </c>
    </row>
    <row r="985" spans="1:15" x14ac:dyDescent="0.2">
      <c r="A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 cm="1">
        <f t="array" ref="O985">IF(ISBLANK(E985),0,IFERROR(ROUND(INDEX(E$1:E984,MAX(IF(E$1:E984&lt;&gt;"",ROW(E$1:E984))))+C985-D985-E985,2),0))</f>
        <v>0</v>
      </c>
    </row>
    <row r="986" spans="1:15" x14ac:dyDescent="0.2">
      <c r="A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 cm="1">
        <f t="array" ref="O986">IF(ISBLANK(E986),0,IFERROR(ROUND(INDEX(E$1:E985,MAX(IF(E$1:E985&lt;&gt;"",ROW(E$1:E985))))+C986-D986-E986,2),0))</f>
        <v>0</v>
      </c>
    </row>
    <row r="987" spans="1:15" x14ac:dyDescent="0.2">
      <c r="A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 cm="1">
        <f t="array" ref="O987">IF(ISBLANK(E987),0,IFERROR(ROUND(INDEX(E$1:E986,MAX(IF(E$1:E986&lt;&gt;"",ROW(E$1:E986))))+C987-D987-E987,2),0))</f>
        <v>0</v>
      </c>
    </row>
    <row r="988" spans="1:15" x14ac:dyDescent="0.2">
      <c r="A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 cm="1">
        <f t="array" ref="O988">IF(ISBLANK(E988),0,IFERROR(ROUND(INDEX(E$1:E987,MAX(IF(E$1:E987&lt;&gt;"",ROW(E$1:E987))))+C988-D988-E988,2),0))</f>
        <v>0</v>
      </c>
    </row>
    <row r="989" spans="1:15" x14ac:dyDescent="0.2">
      <c r="A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 cm="1">
        <f t="array" ref="O989">IF(ISBLANK(E989),0,IFERROR(ROUND(INDEX(E$1:E988,MAX(IF(E$1:E988&lt;&gt;"",ROW(E$1:E988))))+C989-D989-E989,2),0))</f>
        <v>0</v>
      </c>
    </row>
    <row r="990" spans="1:15" x14ac:dyDescent="0.2">
      <c r="A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 cm="1">
        <f t="array" ref="O990">IF(ISBLANK(E990),0,IFERROR(ROUND(INDEX(E$1:E989,MAX(IF(E$1:E989&lt;&gt;"",ROW(E$1:E989))))+C990-D990-E990,2),0))</f>
        <v>0</v>
      </c>
    </row>
    <row r="991" spans="1:15" x14ac:dyDescent="0.2">
      <c r="A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 cm="1">
        <f t="array" ref="O991">IF(ISBLANK(E991),0,IFERROR(ROUND(INDEX(E$1:E990,MAX(IF(E$1:E990&lt;&gt;"",ROW(E$1:E990))))+C991-D991-E991,2),0))</f>
        <v>0</v>
      </c>
    </row>
    <row r="992" spans="1:15" x14ac:dyDescent="0.2">
      <c r="A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 cm="1">
        <f t="array" ref="O992">IF(ISBLANK(E992),0,IFERROR(ROUND(INDEX(E$1:E991,MAX(IF(E$1:E991&lt;&gt;"",ROW(E$1:E991))))+C992-D992-E992,2),0))</f>
        <v>0</v>
      </c>
    </row>
    <row r="993" spans="1:15" x14ac:dyDescent="0.2">
      <c r="A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 cm="1">
        <f t="array" ref="O993">IF(ISBLANK(E993),0,IFERROR(ROUND(INDEX(E$1:E992,MAX(IF(E$1:E992&lt;&gt;"",ROW(E$1:E992))))+C993-D993-E993,2),0))</f>
        <v>0</v>
      </c>
    </row>
    <row r="994" spans="1:15" x14ac:dyDescent="0.2">
      <c r="A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 cm="1">
        <f t="array" ref="O994">IF(ISBLANK(E994),0,IFERROR(ROUND(INDEX(E$1:E993,MAX(IF(E$1:E993&lt;&gt;"",ROW(E$1:E993))))+C994-D994-E994,2),0))</f>
        <v>0</v>
      </c>
    </row>
    <row r="995" spans="1:15" x14ac:dyDescent="0.2">
      <c r="A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 cm="1">
        <f t="array" ref="O995">IF(ISBLANK(E995),0,IFERROR(ROUND(INDEX(E$1:E994,MAX(IF(E$1:E994&lt;&gt;"",ROW(E$1:E994))))+C995-D995-E995,2),0))</f>
        <v>0</v>
      </c>
    </row>
    <row r="996" spans="1:15" x14ac:dyDescent="0.2">
      <c r="A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 cm="1">
        <f t="array" ref="O996">IF(ISBLANK(E996),0,IFERROR(ROUND(INDEX(E$1:E995,MAX(IF(E$1:E995&lt;&gt;"",ROW(E$1:E995))))+C996-D996-E996,2),0))</f>
        <v>0</v>
      </c>
    </row>
    <row r="997" spans="1:15" x14ac:dyDescent="0.2">
      <c r="A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 cm="1">
        <f t="array" ref="O997">IF(ISBLANK(E997),0,IFERROR(ROUND(INDEX(E$1:E996,MAX(IF(E$1:E996&lt;&gt;"",ROW(E$1:E996))))+C997-D997-E997,2),0))</f>
        <v>0</v>
      </c>
    </row>
    <row r="998" spans="1:15" x14ac:dyDescent="0.2">
      <c r="A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 cm="1">
        <f t="array" ref="O998">IF(ISBLANK(E998),0,IFERROR(ROUND(INDEX(E$1:E997,MAX(IF(E$1:E997&lt;&gt;"",ROW(E$1:E997))))+C998-D998-E998,2),0))</f>
        <v>0</v>
      </c>
    </row>
    <row r="999" spans="1:15" x14ac:dyDescent="0.2">
      <c r="A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 cm="1">
        <f t="array" ref="O999">IF(ISBLANK(E999),0,IFERROR(ROUND(INDEX(E$1:E998,MAX(IF(E$1:E998&lt;&gt;"",ROW(E$1:E998))))+C999-D999-E999,2),0))</f>
        <v>0</v>
      </c>
    </row>
    <row r="1000" spans="1:15" x14ac:dyDescent="0.2">
      <c r="A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 cm="1">
        <f t="array" ref="O1000">IF(ISBLANK(E1000),0,IFERROR(ROUND(INDEX(E$1:E999,MAX(IF(E$1:E999&lt;&gt;"",ROW(E$1:E999))))+C1000-D1000-E1000,2),0))</f>
        <v>0</v>
      </c>
    </row>
    <row r="1001" spans="1:15" x14ac:dyDescent="0.2">
      <c r="A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 cm="1">
        <f t="array" ref="O1001">IF(ISBLANK(E1001),0,IFERROR(ROUND(INDEX(E$1:E1000,MAX(IF(E$1:E1000&lt;&gt;"",ROW(E$1:E1000))))+C1001-D1001-E1001,2),0))</f>
        <v>0</v>
      </c>
    </row>
    <row r="1002" spans="1:15" x14ac:dyDescent="0.2">
      <c r="A1002" s="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 cm="1">
        <f t="array" ref="O1002">IF(ISBLANK(E1002),0,IFERROR(ROUND(INDEX(E$1:E1001,MAX(IF(E$1:E1001&lt;&gt;"",ROW(E$1:E1001))))+C1002-D1002-E1002,2),0))</f>
        <v>0</v>
      </c>
    </row>
  </sheetData>
  <sortState xmlns:xlrd2="http://schemas.microsoft.com/office/spreadsheetml/2017/richdata2" ref="A3:O102">
    <sortCondition ref="A3:A102"/>
  </sortState>
  <mergeCells count="1">
    <mergeCell ref="A1:N1"/>
  </mergeCells>
  <dataValidations count="1">
    <dataValidation type="list" allowBlank="1" sqref="B3:B97 B99:B2000" xr:uid="{00000000-0002-0000-0400-000000000000}">
      <formula1>"CAPITAL_INFLOW,CAPITAL_WITHDRAWAL,INVESTMENT,DIVIDEND,INTEREST,FX_CONVERSION,CAUTION,AMORTISATION,ADJUSTMENT,OTHER"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DCE2EB"/>
  </sheetPr>
  <dimension ref="A1:E359"/>
  <sheetViews>
    <sheetView showGridLines="0" zoomScaleNormal="100" workbookViewId="0">
      <pane ySplit="2" topLeftCell="A3" activePane="bottomLeft" state="frozen"/>
      <selection sqref="A1:D1"/>
      <selection pane="bottomLeft" activeCell="A3" sqref="A3"/>
    </sheetView>
  </sheetViews>
  <sheetFormatPr defaultColWidth="8.7109375" defaultRowHeight="12" x14ac:dyDescent="0.2"/>
  <cols>
    <col min="1" max="1" width="11.5703125" style="42" bestFit="1" customWidth="1"/>
    <col min="2" max="2" width="8" style="15" bestFit="1" customWidth="1"/>
    <col min="3" max="3" width="9.85546875" style="15" bestFit="1" customWidth="1"/>
    <col min="4" max="4" width="8" style="15" bestFit="1" customWidth="1"/>
    <col min="5" max="5" width="10.28515625" style="15" bestFit="1" customWidth="1"/>
    <col min="6" max="16384" width="8.7109375" style="15"/>
  </cols>
  <sheetData>
    <row r="1" spans="1:5" ht="24" customHeight="1" x14ac:dyDescent="0.2">
      <c r="A1" s="104" t="s">
        <v>28</v>
      </c>
      <c r="B1" s="104"/>
      <c r="C1" s="104"/>
      <c r="D1" s="104"/>
      <c r="E1" s="104"/>
    </row>
    <row r="2" spans="1:5" ht="27.95" customHeight="1" x14ac:dyDescent="0.2">
      <c r="A2" s="18" t="s">
        <v>21</v>
      </c>
      <c r="B2" s="18" t="s">
        <v>2</v>
      </c>
      <c r="C2" s="18" t="s">
        <v>87</v>
      </c>
      <c r="D2" s="18" t="s">
        <v>194</v>
      </c>
      <c r="E2" s="18" t="s">
        <v>195</v>
      </c>
    </row>
    <row r="3" spans="1:5" x14ac:dyDescent="0.2">
      <c r="A3" s="29">
        <v>45870</v>
      </c>
      <c r="B3" s="29" t="s">
        <v>60</v>
      </c>
      <c r="C3" s="10">
        <v>2</v>
      </c>
      <c r="D3" s="10">
        <v>6690</v>
      </c>
      <c r="E3" s="11">
        <v>4.8986585437291312</v>
      </c>
    </row>
    <row r="4" spans="1:5" x14ac:dyDescent="0.2">
      <c r="A4" s="31">
        <v>45870</v>
      </c>
      <c r="B4" s="31" t="s">
        <v>55</v>
      </c>
      <c r="C4" s="33">
        <v>3</v>
      </c>
      <c r="D4" s="33">
        <v>4065</v>
      </c>
      <c r="E4" s="35">
        <v>2.9765391599789113</v>
      </c>
    </row>
    <row r="5" spans="1:5" x14ac:dyDescent="0.2">
      <c r="A5" s="29">
        <v>45870</v>
      </c>
      <c r="B5" s="29" t="s">
        <v>57</v>
      </c>
      <c r="C5" s="10">
        <v>16794</v>
      </c>
      <c r="D5" s="10">
        <v>1.4430153626295106</v>
      </c>
      <c r="E5" s="11">
        <v>1.056627733165537E-3</v>
      </c>
    </row>
    <row r="6" spans="1:5" x14ac:dyDescent="0.2">
      <c r="A6" s="31">
        <v>45874</v>
      </c>
      <c r="B6" s="31" t="s">
        <v>60</v>
      </c>
      <c r="C6" s="33">
        <v>2</v>
      </c>
      <c r="D6" s="33">
        <v>6860</v>
      </c>
      <c r="E6" s="35">
        <v>5.1052682498455768</v>
      </c>
    </row>
    <row r="7" spans="1:5" x14ac:dyDescent="0.2">
      <c r="A7" s="29">
        <v>45874</v>
      </c>
      <c r="B7" s="29" t="s">
        <v>55</v>
      </c>
      <c r="C7" s="10">
        <v>3</v>
      </c>
      <c r="D7" s="10">
        <v>4180</v>
      </c>
      <c r="E7" s="11">
        <v>3.1107902746872464</v>
      </c>
    </row>
    <row r="8" spans="1:5" x14ac:dyDescent="0.2">
      <c r="A8" s="31">
        <v>45874</v>
      </c>
      <c r="B8" s="31" t="s">
        <v>44</v>
      </c>
      <c r="C8" s="33">
        <v>7</v>
      </c>
      <c r="D8" s="33">
        <v>10000</v>
      </c>
      <c r="E8" s="35">
        <v>7.4420819968594412</v>
      </c>
    </row>
    <row r="9" spans="1:5" x14ac:dyDescent="0.2">
      <c r="A9" s="29">
        <v>45874</v>
      </c>
      <c r="B9" s="29" t="s">
        <v>57</v>
      </c>
      <c r="C9" s="10">
        <v>16794</v>
      </c>
      <c r="D9" s="10">
        <v>1.4468262474693343</v>
      </c>
      <c r="E9" s="11">
        <v>1.0767399568875236E-3</v>
      </c>
    </row>
    <row r="10" spans="1:5" x14ac:dyDescent="0.2">
      <c r="A10" s="31">
        <v>45877</v>
      </c>
      <c r="B10" s="31" t="s">
        <v>60</v>
      </c>
      <c r="C10" s="33">
        <v>2</v>
      </c>
      <c r="D10" s="33">
        <v>6780</v>
      </c>
      <c r="E10" s="35">
        <v>5.1074215807394463</v>
      </c>
    </row>
    <row r="11" spans="1:5" x14ac:dyDescent="0.2">
      <c r="A11" s="29">
        <v>45877</v>
      </c>
      <c r="B11" s="29" t="s">
        <v>55</v>
      </c>
      <c r="C11" s="10">
        <v>3</v>
      </c>
      <c r="D11" s="10">
        <v>3980</v>
      </c>
      <c r="E11" s="11">
        <v>2.9981619308765479</v>
      </c>
    </row>
    <row r="12" spans="1:5" x14ac:dyDescent="0.2">
      <c r="A12" s="31">
        <v>45877</v>
      </c>
      <c r="B12" s="31" t="s">
        <v>52</v>
      </c>
      <c r="C12" s="33">
        <v>1</v>
      </c>
      <c r="D12" s="33">
        <v>45725</v>
      </c>
      <c r="E12" s="35">
        <v>34.444963389278932</v>
      </c>
    </row>
    <row r="13" spans="1:5" x14ac:dyDescent="0.2">
      <c r="A13" s="29">
        <v>45877</v>
      </c>
      <c r="B13" s="9" t="s">
        <v>46</v>
      </c>
      <c r="C13" s="10">
        <v>10</v>
      </c>
      <c r="D13" s="10">
        <v>9100</v>
      </c>
      <c r="E13" s="11">
        <v>6.8550938620544191</v>
      </c>
    </row>
    <row r="14" spans="1:5" x14ac:dyDescent="0.2">
      <c r="A14" s="31">
        <v>45877</v>
      </c>
      <c r="B14" s="32" t="s">
        <v>44</v>
      </c>
      <c r="C14" s="33">
        <v>7</v>
      </c>
      <c r="D14" s="33">
        <v>10125</v>
      </c>
      <c r="E14" s="35">
        <v>7.627233555307801</v>
      </c>
    </row>
    <row r="15" spans="1:5" x14ac:dyDescent="0.2">
      <c r="A15" s="29">
        <v>45877</v>
      </c>
      <c r="B15" s="9" t="s">
        <v>57</v>
      </c>
      <c r="C15" s="10">
        <v>16794</v>
      </c>
      <c r="D15" s="10">
        <v>1.4520066690484696</v>
      </c>
      <c r="E15" s="11">
        <v>1.0938068136984885E-3</v>
      </c>
    </row>
    <row r="16" spans="1:5" x14ac:dyDescent="0.2">
      <c r="A16" s="31">
        <v>45881</v>
      </c>
      <c r="B16" s="32" t="s">
        <v>60</v>
      </c>
      <c r="C16" s="33">
        <v>2</v>
      </c>
      <c r="D16" s="33">
        <v>6870</v>
      </c>
      <c r="E16" s="35">
        <v>5.1950212489224299</v>
      </c>
    </row>
    <row r="17" spans="1:5" x14ac:dyDescent="0.2">
      <c r="A17" s="29">
        <v>45881</v>
      </c>
      <c r="B17" s="9" t="s">
        <v>55</v>
      </c>
      <c r="C17" s="10">
        <v>3</v>
      </c>
      <c r="D17" s="10">
        <v>4045</v>
      </c>
      <c r="E17" s="11">
        <v>3.0587861647585486</v>
      </c>
    </row>
    <row r="18" spans="1:5" x14ac:dyDescent="0.2">
      <c r="A18" s="31">
        <v>45881</v>
      </c>
      <c r="B18" s="32" t="s">
        <v>52</v>
      </c>
      <c r="C18" s="33">
        <v>1</v>
      </c>
      <c r="D18" s="33">
        <v>45100</v>
      </c>
      <c r="E18" s="35">
        <v>34.104142405589748</v>
      </c>
    </row>
    <row r="19" spans="1:5" x14ac:dyDescent="0.2">
      <c r="A19" s="29">
        <v>45881</v>
      </c>
      <c r="B19" s="9" t="s">
        <v>50</v>
      </c>
      <c r="C19" s="10">
        <v>3</v>
      </c>
      <c r="D19" s="10">
        <v>15600</v>
      </c>
      <c r="E19" s="11">
        <v>11.796554801046565</v>
      </c>
    </row>
    <row r="20" spans="1:5" x14ac:dyDescent="0.2">
      <c r="A20" s="31">
        <v>45881</v>
      </c>
      <c r="B20" s="32" t="s">
        <v>46</v>
      </c>
      <c r="C20" s="33">
        <v>10</v>
      </c>
      <c r="D20" s="33">
        <v>9360</v>
      </c>
      <c r="E20" s="35">
        <v>7.0779328806279391</v>
      </c>
    </row>
    <row r="21" spans="1:5" x14ac:dyDescent="0.2">
      <c r="A21" s="29">
        <v>45881</v>
      </c>
      <c r="B21" s="9" t="s">
        <v>44</v>
      </c>
      <c r="C21" s="10">
        <v>7</v>
      </c>
      <c r="D21" s="10">
        <v>10075</v>
      </c>
      <c r="E21" s="11">
        <v>7.6186083090092405</v>
      </c>
    </row>
    <row r="22" spans="1:5" x14ac:dyDescent="0.2">
      <c r="A22" s="31">
        <v>45881</v>
      </c>
      <c r="B22" s="32" t="s">
        <v>57</v>
      </c>
      <c r="C22" s="33">
        <v>16794</v>
      </c>
      <c r="D22" s="33">
        <v>1.4551030129808264</v>
      </c>
      <c r="E22" s="35">
        <v>1.100333489345916E-3</v>
      </c>
    </row>
    <row r="23" spans="1:5" x14ac:dyDescent="0.2">
      <c r="A23" s="29">
        <v>45882</v>
      </c>
      <c r="B23" s="9" t="s">
        <v>60</v>
      </c>
      <c r="C23" s="10">
        <v>2</v>
      </c>
      <c r="D23" s="10">
        <v>6830</v>
      </c>
      <c r="E23" s="11">
        <v>5.1814257645068542</v>
      </c>
    </row>
    <row r="24" spans="1:5" x14ac:dyDescent="0.2">
      <c r="A24" s="31">
        <v>45882</v>
      </c>
      <c r="B24" s="32" t="s">
        <v>55</v>
      </c>
      <c r="C24" s="33">
        <v>3</v>
      </c>
      <c r="D24" s="33">
        <v>4030</v>
      </c>
      <c r="E24" s="35">
        <v>3.0572687893063866</v>
      </c>
    </row>
    <row r="25" spans="1:5" x14ac:dyDescent="0.2">
      <c r="A25" s="29">
        <v>45882</v>
      </c>
      <c r="B25" s="9" t="s">
        <v>52</v>
      </c>
      <c r="C25" s="10">
        <v>1</v>
      </c>
      <c r="D25" s="10">
        <v>44800</v>
      </c>
      <c r="E25" s="11">
        <v>33.986511603207475</v>
      </c>
    </row>
    <row r="26" spans="1:5" x14ac:dyDescent="0.2">
      <c r="A26" s="31">
        <v>45882</v>
      </c>
      <c r="B26" s="32" t="s">
        <v>50</v>
      </c>
      <c r="C26" s="33">
        <v>3</v>
      </c>
      <c r="D26" s="33">
        <v>15700</v>
      </c>
      <c r="E26" s="35">
        <v>11.910451610945477</v>
      </c>
    </row>
    <row r="27" spans="1:5" x14ac:dyDescent="0.2">
      <c r="A27" s="29">
        <v>45882</v>
      </c>
      <c r="B27" s="9" t="s">
        <v>46</v>
      </c>
      <c r="C27" s="10">
        <v>10</v>
      </c>
      <c r="D27" s="10">
        <v>9240</v>
      </c>
      <c r="E27" s="11">
        <v>7.0097180181615419</v>
      </c>
    </row>
    <row r="28" spans="1:5" x14ac:dyDescent="0.2">
      <c r="A28" s="31">
        <v>45882</v>
      </c>
      <c r="B28" s="32" t="s">
        <v>44</v>
      </c>
      <c r="C28" s="33">
        <v>8</v>
      </c>
      <c r="D28" s="33">
        <v>9980</v>
      </c>
      <c r="E28" s="35">
        <v>7.5711023616073794</v>
      </c>
    </row>
    <row r="29" spans="1:5" x14ac:dyDescent="0.2">
      <c r="A29" s="29">
        <v>45882</v>
      </c>
      <c r="B29" s="9" t="s">
        <v>57</v>
      </c>
      <c r="C29" s="10">
        <v>16794</v>
      </c>
      <c r="D29" s="10">
        <v>1.4565320947957603</v>
      </c>
      <c r="E29" s="11">
        <v>1.1049652888442008E-3</v>
      </c>
    </row>
    <row r="30" spans="1:5" x14ac:dyDescent="0.2">
      <c r="A30" s="31">
        <v>45887</v>
      </c>
      <c r="B30" s="32" t="s">
        <v>60</v>
      </c>
      <c r="C30" s="33">
        <v>2</v>
      </c>
      <c r="D30" s="33">
        <v>6380</v>
      </c>
      <c r="E30" s="35">
        <v>4.8947776251889241</v>
      </c>
    </row>
    <row r="31" spans="1:5" x14ac:dyDescent="0.2">
      <c r="A31" s="29">
        <v>45887</v>
      </c>
      <c r="B31" s="9" t="s">
        <v>55</v>
      </c>
      <c r="C31" s="10">
        <v>3</v>
      </c>
      <c r="D31" s="10">
        <v>3900</v>
      </c>
      <c r="E31" s="11">
        <v>2.9921054448647029</v>
      </c>
    </row>
    <row r="32" spans="1:5" x14ac:dyDescent="0.2">
      <c r="A32" s="31">
        <v>45887</v>
      </c>
      <c r="B32" s="32" t="s">
        <v>52</v>
      </c>
      <c r="C32" s="33">
        <v>1</v>
      </c>
      <c r="D32" s="33">
        <v>43975</v>
      </c>
      <c r="E32" s="35">
        <v>33.737906907160337</v>
      </c>
    </row>
    <row r="33" spans="1:5" x14ac:dyDescent="0.2">
      <c r="A33" s="29">
        <v>45887</v>
      </c>
      <c r="B33" s="9" t="s">
        <v>50</v>
      </c>
      <c r="C33" s="10">
        <v>3</v>
      </c>
      <c r="D33" s="10">
        <v>15800</v>
      </c>
      <c r="E33" s="11">
        <v>12.121863084323669</v>
      </c>
    </row>
    <row r="34" spans="1:5" x14ac:dyDescent="0.2">
      <c r="A34" s="31">
        <v>45887</v>
      </c>
      <c r="B34" s="32" t="s">
        <v>46</v>
      </c>
      <c r="C34" s="33">
        <v>10</v>
      </c>
      <c r="D34" s="33">
        <v>9070</v>
      </c>
      <c r="E34" s="35">
        <v>6.9585631756212454</v>
      </c>
    </row>
    <row r="35" spans="1:5" x14ac:dyDescent="0.2">
      <c r="A35" s="29">
        <v>45887</v>
      </c>
      <c r="B35" s="9" t="s">
        <v>44</v>
      </c>
      <c r="C35" s="10">
        <v>8</v>
      </c>
      <c r="D35" s="10">
        <v>9890</v>
      </c>
      <c r="E35" s="11">
        <v>7.5876725255671573</v>
      </c>
    </row>
    <row r="36" spans="1:5" x14ac:dyDescent="0.2">
      <c r="A36" s="31">
        <v>45897</v>
      </c>
      <c r="B36" s="32" t="s">
        <v>60</v>
      </c>
      <c r="C36" s="33">
        <v>2</v>
      </c>
      <c r="D36" s="33">
        <v>5370</v>
      </c>
      <c r="E36" s="35">
        <v>3.9898063049341346</v>
      </c>
    </row>
    <row r="37" spans="1:5" x14ac:dyDescent="0.2">
      <c r="A37" s="29">
        <v>45897</v>
      </c>
      <c r="B37" s="9" t="s">
        <v>55</v>
      </c>
      <c r="C37" s="10">
        <v>3</v>
      </c>
      <c r="D37" s="10">
        <v>3675</v>
      </c>
      <c r="E37" s="11">
        <v>2.7304540354996174</v>
      </c>
    </row>
    <row r="38" spans="1:5" x14ac:dyDescent="0.2">
      <c r="A38" s="31">
        <v>45897</v>
      </c>
      <c r="B38" s="32" t="s">
        <v>52</v>
      </c>
      <c r="C38" s="33">
        <v>1</v>
      </c>
      <c r="D38" s="33">
        <v>41575</v>
      </c>
      <c r="E38" s="35">
        <v>30.889422183917439</v>
      </c>
    </row>
    <row r="39" spans="1:5" x14ac:dyDescent="0.2">
      <c r="A39" s="29">
        <v>45897</v>
      </c>
      <c r="B39" s="9" t="s">
        <v>50</v>
      </c>
      <c r="C39" s="10">
        <v>3</v>
      </c>
      <c r="D39" s="10">
        <v>17625</v>
      </c>
      <c r="E39" s="11">
        <v>13.095034660049185</v>
      </c>
    </row>
    <row r="40" spans="1:5" x14ac:dyDescent="0.2">
      <c r="A40" s="31">
        <v>45897</v>
      </c>
      <c r="B40" s="32" t="s">
        <v>46</v>
      </c>
      <c r="C40" s="33">
        <v>10</v>
      </c>
      <c r="D40" s="33">
        <v>9530</v>
      </c>
      <c r="E40" s="35">
        <v>7.080605975050708</v>
      </c>
    </row>
    <row r="41" spans="1:5" x14ac:dyDescent="0.2">
      <c r="A41" s="29">
        <v>45897</v>
      </c>
      <c r="B41" s="9" t="s">
        <v>44</v>
      </c>
      <c r="C41" s="10">
        <v>8</v>
      </c>
      <c r="D41" s="10">
        <v>10150</v>
      </c>
      <c r="E41" s="11">
        <v>7.5412540028084667</v>
      </c>
    </row>
    <row r="42" spans="1:5" x14ac:dyDescent="0.2">
      <c r="A42" s="31">
        <v>45898</v>
      </c>
      <c r="B42" s="32" t="s">
        <v>60</v>
      </c>
      <c r="C42" s="33">
        <v>2</v>
      </c>
      <c r="D42" s="33">
        <v>5300</v>
      </c>
      <c r="E42" s="35">
        <v>3.9273223071907051</v>
      </c>
    </row>
    <row r="43" spans="1:5" x14ac:dyDescent="0.2">
      <c r="A43" s="29">
        <v>45898</v>
      </c>
      <c r="B43" s="9" t="s">
        <v>55</v>
      </c>
      <c r="C43" s="10">
        <v>3</v>
      </c>
      <c r="D43" s="10">
        <v>3645</v>
      </c>
      <c r="E43" s="11">
        <v>2.7009603414547394</v>
      </c>
    </row>
    <row r="44" spans="1:5" x14ac:dyDescent="0.2">
      <c r="A44" s="31">
        <v>45898</v>
      </c>
      <c r="B44" s="32" t="s">
        <v>52</v>
      </c>
      <c r="C44" s="33">
        <v>1</v>
      </c>
      <c r="D44" s="33">
        <v>41300</v>
      </c>
      <c r="E44" s="35">
        <v>30.603473827731342</v>
      </c>
    </row>
    <row r="45" spans="1:5" x14ac:dyDescent="0.2">
      <c r="A45" s="29">
        <v>45898</v>
      </c>
      <c r="B45" s="9" t="s">
        <v>50</v>
      </c>
      <c r="C45" s="10">
        <v>3</v>
      </c>
      <c r="D45" s="10">
        <v>18050</v>
      </c>
      <c r="E45" s="11">
        <v>13.375125970715514</v>
      </c>
    </row>
    <row r="46" spans="1:5" x14ac:dyDescent="0.2">
      <c r="A46" s="31">
        <v>45898</v>
      </c>
      <c r="B46" s="32" t="s">
        <v>46</v>
      </c>
      <c r="C46" s="33">
        <v>10</v>
      </c>
      <c r="D46" s="33">
        <v>9610</v>
      </c>
      <c r="E46" s="35">
        <v>7.1210504475665424</v>
      </c>
    </row>
    <row r="47" spans="1:5" x14ac:dyDescent="0.2">
      <c r="A47" s="29">
        <v>45898</v>
      </c>
      <c r="B47" s="9" t="s">
        <v>44</v>
      </c>
      <c r="C47" s="10">
        <v>8</v>
      </c>
      <c r="D47" s="10">
        <v>9810</v>
      </c>
      <c r="E47" s="11">
        <v>7.2692512893473236</v>
      </c>
    </row>
    <row r="48" spans="1:5" x14ac:dyDescent="0.2">
      <c r="A48" s="31">
        <v>45930</v>
      </c>
      <c r="B48" s="32" t="s">
        <v>60</v>
      </c>
      <c r="C48" s="33">
        <v>2</v>
      </c>
      <c r="D48" s="33">
        <v>4250</v>
      </c>
      <c r="E48" s="35">
        <v>2.8539196067634536</v>
      </c>
    </row>
    <row r="49" spans="1:5" x14ac:dyDescent="0.2">
      <c r="A49" s="29">
        <v>45930</v>
      </c>
      <c r="B49" s="9" t="s">
        <v>55</v>
      </c>
      <c r="C49" s="10">
        <v>3</v>
      </c>
      <c r="D49" s="10">
        <v>3682.6666666666665</v>
      </c>
      <c r="E49" s="11">
        <v>2.4729493188645204</v>
      </c>
    </row>
    <row r="50" spans="1:5" x14ac:dyDescent="0.2">
      <c r="A50" s="31">
        <v>45930</v>
      </c>
      <c r="B50" s="32" t="s">
        <v>52</v>
      </c>
      <c r="C50" s="33">
        <v>1</v>
      </c>
      <c r="D50" s="33">
        <v>37380</v>
      </c>
      <c r="E50" s="35">
        <v>25.101062329604211</v>
      </c>
    </row>
    <row r="51" spans="1:5" x14ac:dyDescent="0.2">
      <c r="A51" s="29">
        <v>45930</v>
      </c>
      <c r="B51" s="9" t="s">
        <v>50</v>
      </c>
      <c r="C51" s="10">
        <v>3</v>
      </c>
      <c r="D51" s="10">
        <v>25180</v>
      </c>
      <c r="E51" s="11">
        <v>16.908634281953827</v>
      </c>
    </row>
    <row r="52" spans="1:5" x14ac:dyDescent="0.2">
      <c r="A52" s="31">
        <v>45930</v>
      </c>
      <c r="B52" s="32" t="s">
        <v>46</v>
      </c>
      <c r="C52" s="33">
        <v>10</v>
      </c>
      <c r="D52" s="33">
        <v>11260</v>
      </c>
      <c r="E52" s="35">
        <v>7.5612081816838792</v>
      </c>
    </row>
    <row r="53" spans="1:5" x14ac:dyDescent="0.2">
      <c r="A53" s="29">
        <v>45930</v>
      </c>
      <c r="B53" s="9" t="s">
        <v>44</v>
      </c>
      <c r="C53" s="10">
        <v>8</v>
      </c>
      <c r="D53" s="10">
        <v>11980</v>
      </c>
      <c r="E53" s="11">
        <v>8.0446957385943936</v>
      </c>
    </row>
    <row r="54" spans="1:5" x14ac:dyDescent="0.2">
      <c r="A54" s="31">
        <v>45961</v>
      </c>
      <c r="B54" s="32" t="s">
        <v>60</v>
      </c>
      <c r="C54" s="33">
        <v>2</v>
      </c>
      <c r="D54" s="33">
        <v>8845</v>
      </c>
      <c r="E54" s="35">
        <v>5.9969354270062105</v>
      </c>
    </row>
    <row r="55" spans="1:5" x14ac:dyDescent="0.2">
      <c r="A55" s="29">
        <v>45961</v>
      </c>
      <c r="B55" s="9" t="s">
        <v>55</v>
      </c>
      <c r="C55" s="10">
        <v>3</v>
      </c>
      <c r="D55" s="10">
        <v>5155</v>
      </c>
      <c r="E55" s="11">
        <v>3.4951048192444336</v>
      </c>
    </row>
    <row r="56" spans="1:5" x14ac:dyDescent="0.2">
      <c r="A56" s="31">
        <v>45961</v>
      </c>
      <c r="B56" s="32" t="s">
        <v>52</v>
      </c>
      <c r="C56" s="33">
        <v>1</v>
      </c>
      <c r="D56" s="33">
        <v>54600</v>
      </c>
      <c r="E56" s="35">
        <v>37.018956960377508</v>
      </c>
    </row>
    <row r="57" spans="1:5" x14ac:dyDescent="0.2">
      <c r="A57" s="29">
        <v>45961</v>
      </c>
      <c r="B57" s="9" t="s">
        <v>50</v>
      </c>
      <c r="C57" s="10">
        <v>3</v>
      </c>
      <c r="D57" s="10">
        <v>24700</v>
      </c>
      <c r="E57" s="11">
        <v>16.746671005885066</v>
      </c>
    </row>
    <row r="58" spans="1:5" x14ac:dyDescent="0.2">
      <c r="A58" s="31">
        <v>45961</v>
      </c>
      <c r="B58" s="32" t="s">
        <v>46</v>
      </c>
      <c r="C58" s="33">
        <v>10</v>
      </c>
      <c r="D58" s="33">
        <v>11020</v>
      </c>
      <c r="E58" s="35">
        <v>7.4715916795487205</v>
      </c>
    </row>
    <row r="59" spans="1:5" x14ac:dyDescent="0.2">
      <c r="A59" s="29">
        <v>45961</v>
      </c>
      <c r="B59" s="9" t="s">
        <v>44</v>
      </c>
      <c r="C59" s="10">
        <v>8</v>
      </c>
      <c r="D59" s="10">
        <v>12760</v>
      </c>
      <c r="E59" s="11">
        <v>8.6513166815827294</v>
      </c>
    </row>
    <row r="60" spans="1:5" x14ac:dyDescent="0.2">
      <c r="A60" s="31">
        <v>45989</v>
      </c>
      <c r="B60" s="32" t="s">
        <v>60</v>
      </c>
      <c r="C60" s="33">
        <v>2</v>
      </c>
      <c r="D60" s="33">
        <v>7920</v>
      </c>
      <c r="E60" s="35">
        <v>5.3643998916282847</v>
      </c>
    </row>
    <row r="61" spans="1:5" x14ac:dyDescent="0.2">
      <c r="A61" s="29">
        <v>45989</v>
      </c>
      <c r="B61" s="9" t="s">
        <v>55</v>
      </c>
      <c r="C61" s="10">
        <v>3</v>
      </c>
      <c r="D61" s="10">
        <v>5405</v>
      </c>
      <c r="E61" s="11">
        <v>3.6609319967488485</v>
      </c>
    </row>
    <row r="62" spans="1:5" x14ac:dyDescent="0.2">
      <c r="A62" s="31">
        <v>45989</v>
      </c>
      <c r="B62" s="32" t="s">
        <v>52</v>
      </c>
      <c r="C62" s="33">
        <v>1</v>
      </c>
      <c r="D62" s="33">
        <v>56100</v>
      </c>
      <c r="E62" s="35">
        <v>37.99783256570035</v>
      </c>
    </row>
    <row r="63" spans="1:5" x14ac:dyDescent="0.2">
      <c r="A63" s="29">
        <v>45989</v>
      </c>
      <c r="B63" s="9" t="s">
        <v>50</v>
      </c>
      <c r="C63" s="10">
        <v>3</v>
      </c>
      <c r="D63" s="10">
        <v>31480</v>
      </c>
      <c r="E63" s="11">
        <v>21.322134922785153</v>
      </c>
    </row>
    <row r="64" spans="1:5" x14ac:dyDescent="0.2">
      <c r="A64" s="31">
        <v>45989</v>
      </c>
      <c r="B64" s="32" t="s">
        <v>46</v>
      </c>
      <c r="C64" s="33">
        <v>10</v>
      </c>
      <c r="D64" s="33">
        <v>11960</v>
      </c>
      <c r="E64" s="35">
        <v>8.1007856949336219</v>
      </c>
    </row>
    <row r="65" spans="1:5" x14ac:dyDescent="0.2">
      <c r="A65" s="29">
        <v>45989</v>
      </c>
      <c r="B65" s="9" t="s">
        <v>44</v>
      </c>
      <c r="C65" s="10">
        <v>8</v>
      </c>
      <c r="D65" s="10">
        <v>11230</v>
      </c>
      <c r="E65" s="11">
        <v>7.6063397453264692</v>
      </c>
    </row>
    <row r="66" spans="1:5" x14ac:dyDescent="0.2">
      <c r="A66" s="31">
        <v>46021</v>
      </c>
      <c r="B66" s="32" t="s">
        <v>60</v>
      </c>
      <c r="C66" s="33">
        <v>2</v>
      </c>
      <c r="D66" s="33">
        <v>8200</v>
      </c>
      <c r="E66" s="35">
        <v>5.5388190157113328</v>
      </c>
    </row>
    <row r="67" spans="1:5" x14ac:dyDescent="0.2">
      <c r="A67" s="29">
        <v>46021</v>
      </c>
      <c r="B67" s="9" t="s">
        <v>55</v>
      </c>
      <c r="C67" s="10">
        <v>3</v>
      </c>
      <c r="D67" s="10">
        <v>5260</v>
      </c>
      <c r="E67" s="11">
        <v>3.5529497588587331</v>
      </c>
    </row>
    <row r="68" spans="1:5" x14ac:dyDescent="0.2">
      <c r="A68" s="31">
        <v>46021</v>
      </c>
      <c r="B68" s="32" t="s">
        <v>52</v>
      </c>
      <c r="C68" s="33">
        <v>1</v>
      </c>
      <c r="D68" s="33">
        <v>54600</v>
      </c>
      <c r="E68" s="35">
        <v>36.880429055834</v>
      </c>
    </row>
    <row r="69" spans="1:5" x14ac:dyDescent="0.2">
      <c r="A69" s="29">
        <v>46021</v>
      </c>
      <c r="B69" s="9" t="s">
        <v>50</v>
      </c>
      <c r="C69" s="10">
        <v>3</v>
      </c>
      <c r="D69" s="10">
        <v>33620</v>
      </c>
      <c r="E69" s="11">
        <v>22.709157964416466</v>
      </c>
    </row>
    <row r="70" spans="1:5" x14ac:dyDescent="0.2">
      <c r="A70" s="31">
        <v>46021</v>
      </c>
      <c r="B70" s="32" t="s">
        <v>46</v>
      </c>
      <c r="C70" s="33">
        <v>10</v>
      </c>
      <c r="D70" s="33">
        <v>11000</v>
      </c>
      <c r="E70" s="35">
        <v>7.4301230698566663</v>
      </c>
    </row>
    <row r="71" spans="1:5" x14ac:dyDescent="0.2">
      <c r="A71" s="29">
        <v>46021</v>
      </c>
      <c r="B71" s="9" t="s">
        <v>44</v>
      </c>
      <c r="C71" s="10">
        <v>8</v>
      </c>
      <c r="D71" s="10">
        <v>11910</v>
      </c>
      <c r="E71" s="11">
        <v>8.0447968874538986</v>
      </c>
    </row>
    <row r="72" spans="1:5" x14ac:dyDescent="0.2">
      <c r="A72" s="31">
        <v>46041</v>
      </c>
      <c r="B72" s="32" t="s">
        <v>60</v>
      </c>
      <c r="C72" s="33">
        <v>2</v>
      </c>
      <c r="D72" s="33">
        <v>7755</v>
      </c>
      <c r="E72" s="35">
        <v>5.2976739420022545</v>
      </c>
    </row>
    <row r="73" spans="1:5" x14ac:dyDescent="0.2">
      <c r="A73" s="29">
        <v>46041</v>
      </c>
      <c r="B73" s="9" t="s">
        <v>55</v>
      </c>
      <c r="C73" s="10">
        <v>3</v>
      </c>
      <c r="D73" s="10">
        <v>4795</v>
      </c>
      <c r="E73" s="11">
        <v>3.2756088397035219</v>
      </c>
    </row>
    <row r="74" spans="1:5" x14ac:dyDescent="0.2">
      <c r="A74" s="31">
        <v>46041</v>
      </c>
      <c r="B74" s="32" t="s">
        <v>52</v>
      </c>
      <c r="C74" s="33">
        <v>1</v>
      </c>
      <c r="D74" s="33">
        <v>51625</v>
      </c>
      <c r="E74" s="35">
        <v>35.266591522355434</v>
      </c>
    </row>
    <row r="75" spans="1:5" x14ac:dyDescent="0.2">
      <c r="A75" s="29">
        <v>46041</v>
      </c>
      <c r="B75" s="9" t="s">
        <v>50</v>
      </c>
      <c r="C75" s="10">
        <v>3</v>
      </c>
      <c r="D75" s="10">
        <v>38620</v>
      </c>
      <c r="E75" s="11">
        <v>26.382484544181441</v>
      </c>
    </row>
    <row r="76" spans="1:5" x14ac:dyDescent="0.2">
      <c r="A76" s="31">
        <v>46041</v>
      </c>
      <c r="B76" s="32" t="s">
        <v>44</v>
      </c>
      <c r="C76" s="33">
        <v>8</v>
      </c>
      <c r="D76" s="33">
        <v>11690</v>
      </c>
      <c r="E76" s="35">
        <v>7.9857908938757394</v>
      </c>
    </row>
    <row r="77" spans="1:5" x14ac:dyDescent="0.2">
      <c r="A77" s="29">
        <v>46043</v>
      </c>
      <c r="B77" s="9" t="s">
        <v>60</v>
      </c>
      <c r="C77" s="10">
        <v>2</v>
      </c>
      <c r="D77" s="10">
        <v>8120</v>
      </c>
      <c r="E77" s="11">
        <v>5.5539975786759328</v>
      </c>
    </row>
    <row r="78" spans="1:5" x14ac:dyDescent="0.2">
      <c r="A78" s="31">
        <v>46043</v>
      </c>
      <c r="B78" s="32" t="s">
        <v>55</v>
      </c>
      <c r="C78" s="33">
        <v>3</v>
      </c>
      <c r="D78" s="33">
        <v>5010</v>
      </c>
      <c r="E78" s="35">
        <v>3.4267891464490665</v>
      </c>
    </row>
    <row r="79" spans="1:5" x14ac:dyDescent="0.2">
      <c r="A79" s="29">
        <v>46043</v>
      </c>
      <c r="B79" s="9" t="s">
        <v>52</v>
      </c>
      <c r="C79" s="10">
        <v>1</v>
      </c>
      <c r="D79" s="10">
        <v>54000</v>
      </c>
      <c r="E79" s="11">
        <v>36.935451877894131</v>
      </c>
    </row>
    <row r="80" spans="1:5" x14ac:dyDescent="0.2">
      <c r="A80" s="31">
        <v>46043</v>
      </c>
      <c r="B80" s="32" t="s">
        <v>50</v>
      </c>
      <c r="C80" s="33">
        <v>3</v>
      </c>
      <c r="D80" s="33">
        <v>37300</v>
      </c>
      <c r="E80" s="35">
        <v>25.512821389730576</v>
      </c>
    </row>
    <row r="81" spans="1:5" x14ac:dyDescent="0.2">
      <c r="A81" s="29">
        <v>46043</v>
      </c>
      <c r="B81" s="9" t="s">
        <v>44</v>
      </c>
      <c r="C81" s="10">
        <v>3</v>
      </c>
      <c r="D81" s="10">
        <v>11650</v>
      </c>
      <c r="E81" s="11">
        <v>7.9684817477308636</v>
      </c>
    </row>
    <row r="82" spans="1:5" x14ac:dyDescent="0.2">
      <c r="A82" s="31">
        <v>46052</v>
      </c>
      <c r="B82" s="32" t="s">
        <v>60</v>
      </c>
      <c r="C82" s="33">
        <v>2</v>
      </c>
      <c r="D82" s="33">
        <v>8310</v>
      </c>
      <c r="E82" s="35">
        <v>5.673323092677931</v>
      </c>
    </row>
    <row r="83" spans="1:5" x14ac:dyDescent="0.2">
      <c r="A83" s="29">
        <v>46052</v>
      </c>
      <c r="B83" s="9" t="s">
        <v>55</v>
      </c>
      <c r="C83" s="10">
        <v>3</v>
      </c>
      <c r="D83" s="10">
        <v>5215</v>
      </c>
      <c r="E83" s="11">
        <v>3.5603345280764636</v>
      </c>
    </row>
    <row r="84" spans="1:5" x14ac:dyDescent="0.2">
      <c r="A84" s="31">
        <v>46052</v>
      </c>
      <c r="B84" s="32" t="s">
        <v>52</v>
      </c>
      <c r="C84" s="33">
        <v>1</v>
      </c>
      <c r="D84" s="33">
        <v>59700</v>
      </c>
      <c r="E84" s="35">
        <v>40.75780849974398</v>
      </c>
    </row>
    <row r="85" spans="1:5" x14ac:dyDescent="0.2">
      <c r="A85" s="29">
        <v>46052</v>
      </c>
      <c r="B85" s="9" t="s">
        <v>50</v>
      </c>
      <c r="C85" s="10">
        <v>3</v>
      </c>
      <c r="D85" s="10">
        <v>35020</v>
      </c>
      <c r="E85" s="11">
        <v>23.908516811742619</v>
      </c>
    </row>
    <row r="86" spans="1:5" x14ac:dyDescent="0.2">
      <c r="A86" s="31">
        <v>46052</v>
      </c>
      <c r="B86" s="32" t="s">
        <v>44</v>
      </c>
      <c r="C86" s="33">
        <v>3</v>
      </c>
      <c r="D86" s="33">
        <v>11970</v>
      </c>
      <c r="E86" s="35">
        <v>8.172043010752688</v>
      </c>
    </row>
    <row r="87" spans="1:5" x14ac:dyDescent="0.2">
      <c r="A87" s="29">
        <v>46080</v>
      </c>
      <c r="B87" s="9" t="s">
        <v>60</v>
      </c>
      <c r="C87" s="10">
        <v>2</v>
      </c>
      <c r="D87" s="10">
        <v>6545</v>
      </c>
      <c r="E87" s="11">
        <v>4.555769016594275</v>
      </c>
    </row>
    <row r="88" spans="1:5" x14ac:dyDescent="0.2">
      <c r="A88" s="31">
        <v>46080</v>
      </c>
      <c r="B88" s="32" t="s">
        <v>55</v>
      </c>
      <c r="C88" s="33">
        <v>3</v>
      </c>
      <c r="D88" s="33">
        <v>4495</v>
      </c>
      <c r="E88" s="35">
        <v>3.1288283773248691</v>
      </c>
    </row>
    <row r="89" spans="1:5" x14ac:dyDescent="0.2">
      <c r="A89" s="29">
        <v>46080</v>
      </c>
      <c r="B89" s="9" t="s">
        <v>52</v>
      </c>
      <c r="C89" s="10">
        <v>1</v>
      </c>
      <c r="D89" s="10">
        <v>50775</v>
      </c>
      <c r="E89" s="11">
        <v>35.342883394587368</v>
      </c>
    </row>
    <row r="90" spans="1:5" x14ac:dyDescent="0.2">
      <c r="A90" s="31">
        <v>46080</v>
      </c>
      <c r="B90" s="32" t="s">
        <v>50</v>
      </c>
      <c r="C90" s="33">
        <v>3</v>
      </c>
      <c r="D90" s="33">
        <v>37000</v>
      </c>
      <c r="E90" s="35">
        <v>25.754538367301478</v>
      </c>
    </row>
    <row r="91" spans="1:5" x14ac:dyDescent="0.2">
      <c r="A91" s="29">
        <v>46080</v>
      </c>
      <c r="B91" s="9" t="s">
        <v>44</v>
      </c>
      <c r="C91" s="10">
        <v>3</v>
      </c>
      <c r="D91" s="10">
        <v>10960</v>
      </c>
      <c r="E91" s="11">
        <v>7.6289119055574108</v>
      </c>
    </row>
    <row r="92" spans="1:5" x14ac:dyDescent="0.2">
      <c r="A92" s="31">
        <v>46111</v>
      </c>
      <c r="B92" s="31" t="s">
        <v>60</v>
      </c>
      <c r="C92" s="33">
        <v>2</v>
      </c>
      <c r="D92" s="33">
        <v>6375</v>
      </c>
      <c r="E92" s="35">
        <v>4.4456066945606691</v>
      </c>
    </row>
    <row r="93" spans="1:5" x14ac:dyDescent="0.2">
      <c r="A93" s="29">
        <v>46111</v>
      </c>
      <c r="B93" s="29" t="s">
        <v>55</v>
      </c>
      <c r="C93" s="10">
        <v>3</v>
      </c>
      <c r="D93" s="10">
        <v>5145</v>
      </c>
      <c r="E93" s="11">
        <v>3.5878661087866108</v>
      </c>
    </row>
    <row r="94" spans="1:5" x14ac:dyDescent="0.2">
      <c r="A94" s="31">
        <v>46111</v>
      </c>
      <c r="B94" s="31" t="s">
        <v>52</v>
      </c>
      <c r="C94" s="33">
        <v>1</v>
      </c>
      <c r="D94" s="33">
        <v>68450</v>
      </c>
      <c r="E94" s="35">
        <v>47.733612273361224</v>
      </c>
    </row>
    <row r="95" spans="1:5" x14ac:dyDescent="0.2">
      <c r="A95" s="29">
        <v>46111</v>
      </c>
      <c r="B95" s="29" t="s">
        <v>50</v>
      </c>
      <c r="C95" s="10">
        <v>3</v>
      </c>
      <c r="D95" s="10">
        <v>28400</v>
      </c>
      <c r="E95" s="11">
        <v>19.804741980474198</v>
      </c>
    </row>
    <row r="96" spans="1:5" x14ac:dyDescent="0.2">
      <c r="A96" s="31">
        <v>46111</v>
      </c>
      <c r="B96" s="31" t="s">
        <v>44</v>
      </c>
      <c r="C96" s="33">
        <v>3</v>
      </c>
      <c r="D96" s="33">
        <v>10240</v>
      </c>
      <c r="E96" s="35">
        <v>7.1408647140864714</v>
      </c>
    </row>
    <row r="97" spans="1:5" x14ac:dyDescent="0.2">
      <c r="A97" s="29">
        <v>46112</v>
      </c>
      <c r="B97" s="9" t="s">
        <v>60</v>
      </c>
      <c r="C97" s="10">
        <v>2</v>
      </c>
      <c r="D97" s="10">
        <v>6890</v>
      </c>
      <c r="E97" s="11">
        <v>4.8448794757123173</v>
      </c>
    </row>
    <row r="98" spans="1:5" x14ac:dyDescent="0.2">
      <c r="A98" s="31">
        <v>46112</v>
      </c>
      <c r="B98" s="32" t="s">
        <v>55</v>
      </c>
      <c r="C98" s="33">
        <v>3</v>
      </c>
      <c r="D98" s="33">
        <v>5200</v>
      </c>
      <c r="E98" s="35">
        <v>3.6565128118583528</v>
      </c>
    </row>
    <row r="99" spans="1:5" x14ac:dyDescent="0.2">
      <c r="A99" s="29">
        <v>46112</v>
      </c>
      <c r="B99" s="9" t="s">
        <v>52</v>
      </c>
      <c r="C99" s="10">
        <v>1</v>
      </c>
      <c r="D99" s="10">
        <v>67500</v>
      </c>
      <c r="E99" s="11">
        <v>47.464349000084383</v>
      </c>
    </row>
    <row r="100" spans="1:5" x14ac:dyDescent="0.2">
      <c r="A100" s="31">
        <v>46112</v>
      </c>
      <c r="B100" s="32" t="s">
        <v>50</v>
      </c>
      <c r="C100" s="33">
        <v>3</v>
      </c>
      <c r="D100" s="33">
        <v>30060</v>
      </c>
      <c r="E100" s="35">
        <v>21.137456754704246</v>
      </c>
    </row>
    <row r="101" spans="1:5" x14ac:dyDescent="0.2">
      <c r="A101" s="29">
        <v>46112</v>
      </c>
      <c r="B101" s="9" t="s">
        <v>44</v>
      </c>
      <c r="C101" s="10">
        <v>3</v>
      </c>
      <c r="D101" s="10">
        <v>10720</v>
      </c>
      <c r="E101" s="11">
        <v>7.5380417967541424</v>
      </c>
    </row>
    <row r="102" spans="1:5" x14ac:dyDescent="0.2">
      <c r="A102" s="31">
        <v>46113</v>
      </c>
      <c r="B102" s="31" t="s">
        <v>60</v>
      </c>
      <c r="C102" s="33">
        <v>2</v>
      </c>
      <c r="D102" s="33">
        <v>6890</v>
      </c>
      <c r="E102" s="35">
        <v>4.8037705066618326</v>
      </c>
    </row>
    <row r="103" spans="1:5" x14ac:dyDescent="0.2">
      <c r="A103" s="29">
        <v>46113</v>
      </c>
      <c r="B103" s="29" t="s">
        <v>55</v>
      </c>
      <c r="C103" s="10">
        <v>3</v>
      </c>
      <c r="D103" s="10">
        <v>5170</v>
      </c>
      <c r="E103" s="11">
        <v>3.6045709026765858</v>
      </c>
    </row>
    <row r="104" spans="1:5" x14ac:dyDescent="0.2">
      <c r="A104" s="31">
        <v>46113</v>
      </c>
      <c r="B104" s="31" t="s">
        <v>52</v>
      </c>
      <c r="C104" s="33">
        <v>1</v>
      </c>
      <c r="D104" s="33">
        <v>65450</v>
      </c>
      <c r="E104" s="35">
        <v>45.632333767926987</v>
      </c>
    </row>
    <row r="105" spans="1:5" x14ac:dyDescent="0.2">
      <c r="A105" s="29">
        <v>46113</v>
      </c>
      <c r="B105" s="29" t="s">
        <v>50</v>
      </c>
      <c r="C105" s="10">
        <v>3</v>
      </c>
      <c r="D105" s="10">
        <v>31340</v>
      </c>
      <c r="E105" s="11">
        <v>21.850532319126536</v>
      </c>
    </row>
    <row r="106" spans="1:5" x14ac:dyDescent="0.2">
      <c r="A106" s="31">
        <v>46113</v>
      </c>
      <c r="B106" s="31" t="s">
        <v>36</v>
      </c>
      <c r="C106" s="33">
        <v>42</v>
      </c>
      <c r="D106" s="33">
        <v>36000</v>
      </c>
      <c r="E106" s="35">
        <v>25.099526595040054</v>
      </c>
    </row>
    <row r="107" spans="1:5" x14ac:dyDescent="0.2">
      <c r="A107" s="29">
        <v>46113</v>
      </c>
      <c r="B107" s="29" t="s">
        <v>44</v>
      </c>
      <c r="C107" s="10">
        <v>3</v>
      </c>
      <c r="D107" s="10">
        <v>10910</v>
      </c>
      <c r="E107" s="11">
        <v>7.606550976441306</v>
      </c>
    </row>
    <row r="108" spans="1:5" x14ac:dyDescent="0.2">
      <c r="A108" s="31">
        <v>46113</v>
      </c>
      <c r="B108" s="31" t="s">
        <v>38</v>
      </c>
      <c r="C108" s="33">
        <v>6000</v>
      </c>
      <c r="D108" s="33">
        <v>1434.29</v>
      </c>
      <c r="E108" s="35">
        <v>1</v>
      </c>
    </row>
    <row r="109" spans="1:5" x14ac:dyDescent="0.2">
      <c r="A109" s="29">
        <v>46118</v>
      </c>
      <c r="B109" s="29" t="s">
        <v>60</v>
      </c>
      <c r="C109" s="10">
        <v>2</v>
      </c>
      <c r="D109" s="10">
        <v>6855</v>
      </c>
      <c r="E109" s="11">
        <v>4.8059059009934311</v>
      </c>
    </row>
    <row r="110" spans="1:5" x14ac:dyDescent="0.2">
      <c r="A110" s="31">
        <v>46118</v>
      </c>
      <c r="B110" s="31" t="s">
        <v>55</v>
      </c>
      <c r="C110" s="33">
        <v>3</v>
      </c>
      <c r="D110" s="33">
        <v>5240</v>
      </c>
      <c r="E110" s="35">
        <v>3.6736611117732427</v>
      </c>
    </row>
    <row r="111" spans="1:5" x14ac:dyDescent="0.2">
      <c r="A111" s="29">
        <v>46118</v>
      </c>
      <c r="B111" s="29" t="s">
        <v>52</v>
      </c>
      <c r="C111" s="10">
        <v>1</v>
      </c>
      <c r="D111" s="10">
        <v>64875</v>
      </c>
      <c r="E111" s="11">
        <v>45.482588669139147</v>
      </c>
    </row>
    <row r="112" spans="1:5" x14ac:dyDescent="0.2">
      <c r="A112" s="31">
        <v>46118</v>
      </c>
      <c r="B112" s="31" t="s">
        <v>50</v>
      </c>
      <c r="C112" s="33">
        <v>3</v>
      </c>
      <c r="D112" s="33">
        <v>30460</v>
      </c>
      <c r="E112" s="35">
        <v>21.354907913094081</v>
      </c>
    </row>
    <row r="113" spans="1:5" x14ac:dyDescent="0.2">
      <c r="A113" s="29">
        <v>46118</v>
      </c>
      <c r="B113" s="29" t="s">
        <v>36</v>
      </c>
      <c r="C113" s="10">
        <v>42</v>
      </c>
      <c r="D113" s="10">
        <v>35440</v>
      </c>
      <c r="E113" s="11">
        <v>24.846288130008343</v>
      </c>
    </row>
    <row r="114" spans="1:5" x14ac:dyDescent="0.2">
      <c r="A114" s="31">
        <v>46118</v>
      </c>
      <c r="B114" s="31" t="s">
        <v>44</v>
      </c>
      <c r="C114" s="33">
        <v>3</v>
      </c>
      <c r="D114" s="33">
        <v>10970</v>
      </c>
      <c r="E114" s="35">
        <v>7.6908516023191744</v>
      </c>
    </row>
    <row r="115" spans="1:5" x14ac:dyDescent="0.2">
      <c r="A115" s="29">
        <v>46118</v>
      </c>
      <c r="B115" s="29" t="s">
        <v>38</v>
      </c>
      <c r="C115" s="10">
        <v>6000</v>
      </c>
      <c r="D115" s="10">
        <v>1426.37</v>
      </c>
      <c r="E115" s="11">
        <v>1</v>
      </c>
    </row>
    <row r="116" spans="1:5" x14ac:dyDescent="0.2">
      <c r="A116" s="31">
        <v>46119</v>
      </c>
      <c r="B116" s="31" t="s">
        <v>60</v>
      </c>
      <c r="C116" s="33">
        <v>2</v>
      </c>
      <c r="D116" s="33">
        <v>6720</v>
      </c>
      <c r="E116" s="35">
        <v>4.6887101163107108</v>
      </c>
    </row>
    <row r="117" spans="1:5" x14ac:dyDescent="0.2">
      <c r="A117" s="29">
        <v>46119</v>
      </c>
      <c r="B117" s="29" t="s">
        <v>55</v>
      </c>
      <c r="C117" s="10">
        <v>3</v>
      </c>
      <c r="D117" s="10">
        <v>5200</v>
      </c>
      <c r="E117" s="11">
        <v>3.6281685423832881</v>
      </c>
    </row>
    <row r="118" spans="1:5" x14ac:dyDescent="0.2">
      <c r="A118" s="31">
        <v>46119</v>
      </c>
      <c r="B118" s="31" t="s">
        <v>52</v>
      </c>
      <c r="C118" s="33">
        <v>1</v>
      </c>
      <c r="D118" s="33">
        <v>65450</v>
      </c>
      <c r="E118" s="35">
        <v>45.666082903651194</v>
      </c>
    </row>
    <row r="119" spans="1:5" x14ac:dyDescent="0.2">
      <c r="A119" s="29">
        <v>46119</v>
      </c>
      <c r="B119" s="29" t="s">
        <v>50</v>
      </c>
      <c r="C119" s="10">
        <v>3</v>
      </c>
      <c r="D119" s="10">
        <v>30620</v>
      </c>
      <c r="E119" s="11">
        <v>21.364330916880053</v>
      </c>
    </row>
    <row r="120" spans="1:5" x14ac:dyDescent="0.2">
      <c r="A120" s="31">
        <v>46119</v>
      </c>
      <c r="B120" s="31" t="s">
        <v>36</v>
      </c>
      <c r="C120" s="33">
        <v>42</v>
      </c>
      <c r="D120" s="33">
        <v>35440</v>
      </c>
      <c r="E120" s="35">
        <v>24.727364065781487</v>
      </c>
    </row>
    <row r="121" spans="1:5" x14ac:dyDescent="0.2">
      <c r="A121" s="29">
        <v>46119</v>
      </c>
      <c r="B121" s="29" t="s">
        <v>44</v>
      </c>
      <c r="C121" s="10">
        <v>3</v>
      </c>
      <c r="D121" s="10">
        <v>11000</v>
      </c>
      <c r="E121" s="11">
        <v>7.6749719165800325</v>
      </c>
    </row>
    <row r="122" spans="1:5" x14ac:dyDescent="0.2">
      <c r="A122" s="31">
        <v>46119</v>
      </c>
      <c r="B122" s="31" t="s">
        <v>38</v>
      </c>
      <c r="C122" s="33">
        <v>6000</v>
      </c>
      <c r="D122" s="33">
        <v>1433.23</v>
      </c>
      <c r="E122" s="35">
        <v>1</v>
      </c>
    </row>
    <row r="123" spans="1:5" x14ac:dyDescent="0.2">
      <c r="A123" s="29">
        <v>46120</v>
      </c>
      <c r="B123" s="29" t="s">
        <v>60</v>
      </c>
      <c r="C123" s="10">
        <v>2</v>
      </c>
      <c r="D123" s="10">
        <v>6995</v>
      </c>
      <c r="E123" s="11">
        <v>4.9220008865934401</v>
      </c>
    </row>
    <row r="124" spans="1:5" x14ac:dyDescent="0.2">
      <c r="A124" s="31">
        <v>46120</v>
      </c>
      <c r="B124" s="31" t="s">
        <v>55</v>
      </c>
      <c r="C124" s="33">
        <v>3</v>
      </c>
      <c r="D124" s="33">
        <v>5160</v>
      </c>
      <c r="E124" s="35">
        <v>3.6308112329981634</v>
      </c>
    </row>
    <row r="125" spans="1:5" x14ac:dyDescent="0.2">
      <c r="A125" s="29">
        <v>46120</v>
      </c>
      <c r="B125" s="29" t="s">
        <v>52</v>
      </c>
      <c r="C125" s="10">
        <v>1</v>
      </c>
      <c r="D125" s="10">
        <v>64100</v>
      </c>
      <c r="E125" s="11">
        <v>45.103682177360902</v>
      </c>
    </row>
    <row r="126" spans="1:5" x14ac:dyDescent="0.2">
      <c r="A126" s="31">
        <v>46120</v>
      </c>
      <c r="B126" s="31" t="s">
        <v>50</v>
      </c>
      <c r="C126" s="33">
        <v>3</v>
      </c>
      <c r="D126" s="33">
        <v>31360</v>
      </c>
      <c r="E126" s="35">
        <v>22.066325633105116</v>
      </c>
    </row>
    <row r="127" spans="1:5" x14ac:dyDescent="0.2">
      <c r="A127" s="29">
        <v>46120</v>
      </c>
      <c r="B127" s="29" t="s">
        <v>36</v>
      </c>
      <c r="C127" s="10">
        <v>42</v>
      </c>
      <c r="D127" s="10">
        <v>37700</v>
      </c>
      <c r="E127" s="11">
        <v>26.527438659695882</v>
      </c>
    </row>
    <row r="128" spans="1:5" x14ac:dyDescent="0.2">
      <c r="A128" s="31">
        <v>46120</v>
      </c>
      <c r="B128" s="31" t="s">
        <v>44</v>
      </c>
      <c r="C128" s="33">
        <v>3</v>
      </c>
      <c r="D128" s="33">
        <v>11210</v>
      </c>
      <c r="E128" s="35">
        <v>7.8878670391297305</v>
      </c>
    </row>
    <row r="129" spans="1:5" x14ac:dyDescent="0.2">
      <c r="A129" s="29">
        <v>46120</v>
      </c>
      <c r="B129" s="29" t="s">
        <v>38</v>
      </c>
      <c r="C129" s="10">
        <v>6000</v>
      </c>
      <c r="D129" s="10">
        <v>1477</v>
      </c>
      <c r="E129" s="11">
        <v>1.0392845331663347</v>
      </c>
    </row>
    <row r="130" spans="1:5" x14ac:dyDescent="0.2">
      <c r="A130" s="31">
        <v>46121</v>
      </c>
      <c r="B130" s="31" t="s">
        <v>60</v>
      </c>
      <c r="C130" s="33">
        <v>2</v>
      </c>
      <c r="D130" s="33">
        <v>7070</v>
      </c>
      <c r="E130" s="35">
        <v>4.9882525593898386</v>
      </c>
    </row>
    <row r="131" spans="1:5" x14ac:dyDescent="0.2">
      <c r="A131" s="29">
        <v>46121</v>
      </c>
      <c r="B131" s="29" t="s">
        <v>55</v>
      </c>
      <c r="C131" s="10">
        <v>3</v>
      </c>
      <c r="D131" s="10">
        <v>5120</v>
      </c>
      <c r="E131" s="11">
        <v>3.6124261816231931</v>
      </c>
    </row>
    <row r="132" spans="1:5" x14ac:dyDescent="0.2">
      <c r="A132" s="31">
        <v>46121</v>
      </c>
      <c r="B132" s="31" t="s">
        <v>52</v>
      </c>
      <c r="C132" s="33">
        <v>1</v>
      </c>
      <c r="D132" s="33">
        <v>62950</v>
      </c>
      <c r="E132" s="35">
        <v>44.414497682261718</v>
      </c>
    </row>
    <row r="133" spans="1:5" x14ac:dyDescent="0.2">
      <c r="A133" s="29">
        <v>46121</v>
      </c>
      <c r="B133" s="29" t="s">
        <v>50</v>
      </c>
      <c r="C133" s="10">
        <v>3</v>
      </c>
      <c r="D133" s="10">
        <v>31420</v>
      </c>
      <c r="E133" s="11">
        <v>22.168443481757954</v>
      </c>
    </row>
    <row r="134" spans="1:5" x14ac:dyDescent="0.2">
      <c r="A134" s="31">
        <v>46121</v>
      </c>
      <c r="B134" s="31" t="s">
        <v>36</v>
      </c>
      <c r="C134" s="33">
        <v>42</v>
      </c>
      <c r="D134" s="33">
        <v>38660</v>
      </c>
      <c r="E134" s="35">
        <v>27.276639879209501</v>
      </c>
    </row>
    <row r="135" spans="1:5" x14ac:dyDescent="0.2">
      <c r="A135" s="29">
        <v>46121</v>
      </c>
      <c r="B135" s="29" t="s">
        <v>44</v>
      </c>
      <c r="C135" s="10">
        <v>3</v>
      </c>
      <c r="D135" s="10">
        <v>11340</v>
      </c>
      <c r="E135" s="11">
        <v>8.0009595507044935</v>
      </c>
    </row>
    <row r="136" spans="1:5" x14ac:dyDescent="0.2">
      <c r="A136" s="31">
        <v>46121</v>
      </c>
      <c r="B136" s="31" t="s">
        <v>38</v>
      </c>
      <c r="C136" s="33">
        <v>6000</v>
      </c>
      <c r="D136" s="33">
        <v>1480</v>
      </c>
      <c r="E136" s="35">
        <v>1.0442169431254542</v>
      </c>
    </row>
    <row r="137" spans="1:5" x14ac:dyDescent="0.2">
      <c r="A137" s="29">
        <v>46122</v>
      </c>
      <c r="B137" s="29" t="s">
        <v>60</v>
      </c>
      <c r="C137" s="10">
        <v>2</v>
      </c>
      <c r="D137" s="10">
        <v>7075</v>
      </c>
      <c r="E137" s="11">
        <v>5.0027577038933124</v>
      </c>
    </row>
    <row r="138" spans="1:5" x14ac:dyDescent="0.2">
      <c r="A138" s="31">
        <v>46122</v>
      </c>
      <c r="B138" s="31" t="s">
        <v>55</v>
      </c>
      <c r="C138" s="33">
        <v>3</v>
      </c>
      <c r="D138" s="33">
        <v>5145</v>
      </c>
      <c r="E138" s="35">
        <v>3.63804782848496</v>
      </c>
    </row>
    <row r="139" spans="1:5" x14ac:dyDescent="0.2">
      <c r="A139" s="29">
        <v>46122</v>
      </c>
      <c r="B139" s="29" t="s">
        <v>52</v>
      </c>
      <c r="C139" s="10">
        <v>1</v>
      </c>
      <c r="D139" s="10">
        <v>63275</v>
      </c>
      <c r="E139" s="11">
        <v>44.741977910084707</v>
      </c>
    </row>
    <row r="140" spans="1:5" x14ac:dyDescent="0.2">
      <c r="A140" s="31">
        <v>46122</v>
      </c>
      <c r="B140" s="31" t="s">
        <v>50</v>
      </c>
      <c r="C140" s="33">
        <v>3</v>
      </c>
      <c r="D140" s="33">
        <v>32080</v>
      </c>
      <c r="E140" s="35">
        <v>22.683882281398933</v>
      </c>
    </row>
    <row r="141" spans="1:5" x14ac:dyDescent="0.2">
      <c r="A141" s="29">
        <v>46122</v>
      </c>
      <c r="B141" s="29" t="s">
        <v>33</v>
      </c>
      <c r="C141" s="10">
        <v>3</v>
      </c>
      <c r="D141" s="10">
        <v>21800</v>
      </c>
      <c r="E141" s="11">
        <v>15.414857660052892</v>
      </c>
    </row>
    <row r="142" spans="1:5" x14ac:dyDescent="0.2">
      <c r="A142" s="31">
        <v>46122</v>
      </c>
      <c r="B142" s="31" t="s">
        <v>36</v>
      </c>
      <c r="C142" s="33">
        <v>42</v>
      </c>
      <c r="D142" s="33">
        <v>38660</v>
      </c>
      <c r="E142" s="35">
        <v>27.336623721910311</v>
      </c>
    </row>
    <row r="143" spans="1:5" x14ac:dyDescent="0.2">
      <c r="A143" s="29">
        <v>46122</v>
      </c>
      <c r="B143" s="29" t="s">
        <v>44</v>
      </c>
      <c r="C143" s="10">
        <v>3</v>
      </c>
      <c r="D143" s="10">
        <v>11590</v>
      </c>
      <c r="E143" s="11">
        <v>8.1953302880739916</v>
      </c>
    </row>
    <row r="144" spans="1:5" x14ac:dyDescent="0.2">
      <c r="A144" s="31">
        <v>46122</v>
      </c>
      <c r="B144" s="31" t="s">
        <v>38</v>
      </c>
      <c r="C144" s="33">
        <v>6000</v>
      </c>
      <c r="D144" s="33">
        <v>1486</v>
      </c>
      <c r="E144" s="35">
        <v>1.0507558937081924</v>
      </c>
    </row>
    <row r="145" spans="1:5" x14ac:dyDescent="0.2">
      <c r="A145" s="29">
        <v>46125</v>
      </c>
      <c r="B145" s="29" t="s">
        <v>60</v>
      </c>
      <c r="C145" s="10">
        <v>2</v>
      </c>
      <c r="D145" s="10">
        <v>7135</v>
      </c>
      <c r="E145" s="11">
        <v>5.0850598305217618</v>
      </c>
    </row>
    <row r="146" spans="1:5" x14ac:dyDescent="0.2">
      <c r="A146" s="31">
        <v>46125</v>
      </c>
      <c r="B146" s="31" t="s">
        <v>55</v>
      </c>
      <c r="C146" s="33">
        <v>3</v>
      </c>
      <c r="D146" s="33">
        <v>5090</v>
      </c>
      <c r="E146" s="35">
        <v>3.6276039996293998</v>
      </c>
    </row>
    <row r="147" spans="1:5" x14ac:dyDescent="0.2">
      <c r="A147" s="29">
        <v>46125</v>
      </c>
      <c r="B147" s="29" t="s">
        <v>52</v>
      </c>
      <c r="C147" s="10">
        <v>1</v>
      </c>
      <c r="D147" s="10">
        <v>63675</v>
      </c>
      <c r="E147" s="11">
        <v>45.380684612259728</v>
      </c>
    </row>
    <row r="148" spans="1:5" x14ac:dyDescent="0.2">
      <c r="A148" s="31">
        <v>46125</v>
      </c>
      <c r="B148" s="31" t="s">
        <v>50</v>
      </c>
      <c r="C148" s="33">
        <v>3</v>
      </c>
      <c r="D148" s="33">
        <v>31620</v>
      </c>
      <c r="E148" s="35">
        <v>22.53533172264865</v>
      </c>
    </row>
    <row r="149" spans="1:5" x14ac:dyDescent="0.2">
      <c r="A149" s="29">
        <v>46125</v>
      </c>
      <c r="B149" s="29" t="s">
        <v>33</v>
      </c>
      <c r="C149" s="10">
        <v>3</v>
      </c>
      <c r="D149" s="10">
        <v>22400</v>
      </c>
      <c r="E149" s="11">
        <v>15.964308367720738</v>
      </c>
    </row>
    <row r="150" spans="1:5" x14ac:dyDescent="0.2">
      <c r="A150" s="31">
        <v>46125</v>
      </c>
      <c r="B150" s="31" t="s">
        <v>36</v>
      </c>
      <c r="C150" s="33">
        <v>42</v>
      </c>
      <c r="D150" s="33">
        <v>38700</v>
      </c>
      <c r="E150" s="35">
        <v>27.581193474588954</v>
      </c>
    </row>
    <row r="151" spans="1:5" x14ac:dyDescent="0.2">
      <c r="A151" s="29">
        <v>46125</v>
      </c>
      <c r="B151" s="29" t="s">
        <v>44</v>
      </c>
      <c r="C151" s="10">
        <v>3</v>
      </c>
      <c r="D151" s="10">
        <v>11580</v>
      </c>
      <c r="E151" s="11">
        <v>8.2529772722413455</v>
      </c>
    </row>
    <row r="152" spans="1:5" x14ac:dyDescent="0.2">
      <c r="A152" s="31">
        <v>46125</v>
      </c>
      <c r="B152" s="31" t="s">
        <v>38</v>
      </c>
      <c r="C152" s="33">
        <v>6000</v>
      </c>
      <c r="D152" s="33">
        <v>1475</v>
      </c>
      <c r="E152" s="35">
        <v>1.0512211983208968</v>
      </c>
    </row>
    <row r="153" spans="1:5" x14ac:dyDescent="0.2">
      <c r="A153" s="29">
        <v>46126</v>
      </c>
      <c r="B153" s="29" t="s">
        <v>60</v>
      </c>
      <c r="C153" s="10">
        <v>2</v>
      </c>
      <c r="D153" s="10">
        <v>7170</v>
      </c>
      <c r="E153" s="11">
        <v>5.0828353288955999</v>
      </c>
    </row>
    <row r="154" spans="1:5" x14ac:dyDescent="0.2">
      <c r="A154" s="31">
        <v>46126</v>
      </c>
      <c r="B154" s="31" t="s">
        <v>55</v>
      </c>
      <c r="C154" s="33">
        <v>3</v>
      </c>
      <c r="D154" s="33">
        <v>4900</v>
      </c>
      <c r="E154" s="35">
        <v>3.4736252596357655</v>
      </c>
    </row>
    <row r="155" spans="1:5" x14ac:dyDescent="0.2">
      <c r="A155" s="29">
        <v>46126</v>
      </c>
      <c r="B155" s="29" t="s">
        <v>52</v>
      </c>
      <c r="C155" s="10">
        <v>1</v>
      </c>
      <c r="D155" s="10">
        <v>61925</v>
      </c>
      <c r="E155" s="11">
        <v>43.898825347539749</v>
      </c>
    </row>
    <row r="156" spans="1:5" x14ac:dyDescent="0.2">
      <c r="A156" s="31">
        <v>46126</v>
      </c>
      <c r="B156" s="31" t="s">
        <v>50</v>
      </c>
      <c r="C156" s="33">
        <v>3</v>
      </c>
      <c r="D156" s="33">
        <v>32200</v>
      </c>
      <c r="E156" s="35">
        <v>22.826680277606457</v>
      </c>
    </row>
    <row r="157" spans="1:5" x14ac:dyDescent="0.2">
      <c r="A157" s="29">
        <v>46126</v>
      </c>
      <c r="B157" s="29" t="s">
        <v>33</v>
      </c>
      <c r="C157" s="10">
        <v>33</v>
      </c>
      <c r="D157" s="10">
        <v>22560</v>
      </c>
      <c r="E157" s="11">
        <v>15.992854256608748</v>
      </c>
    </row>
    <row r="158" spans="1:5" x14ac:dyDescent="0.2">
      <c r="A158" s="31">
        <v>46126</v>
      </c>
      <c r="B158" s="31" t="s">
        <v>36</v>
      </c>
      <c r="C158" s="33">
        <v>42</v>
      </c>
      <c r="D158" s="33">
        <v>40540</v>
      </c>
      <c r="E158" s="35">
        <v>28.738932250129373</v>
      </c>
    </row>
    <row r="159" spans="1:5" x14ac:dyDescent="0.2">
      <c r="A159" s="29">
        <v>46126</v>
      </c>
      <c r="B159" s="29" t="s">
        <v>44</v>
      </c>
      <c r="C159" s="10">
        <v>3</v>
      </c>
      <c r="D159" s="10">
        <v>11980</v>
      </c>
      <c r="E159" s="11">
        <v>8.4926593082523407</v>
      </c>
    </row>
    <row r="160" spans="1:5" x14ac:dyDescent="0.2">
      <c r="A160" s="31">
        <v>46126</v>
      </c>
      <c r="B160" s="31" t="s">
        <v>38</v>
      </c>
      <c r="C160" s="33">
        <v>6000</v>
      </c>
      <c r="D160" s="33">
        <v>1483</v>
      </c>
      <c r="E160" s="35">
        <v>1.0513033183754776</v>
      </c>
    </row>
    <row r="161" spans="1:5" x14ac:dyDescent="0.2">
      <c r="A161" s="29">
        <v>46126</v>
      </c>
      <c r="B161" s="29" t="s">
        <v>251</v>
      </c>
      <c r="C161" s="10">
        <v>685.30795599999999</v>
      </c>
      <c r="D161" s="10">
        <v>2058.3884772526994</v>
      </c>
      <c r="E161" s="11">
        <v>1.4591980017812602</v>
      </c>
    </row>
    <row r="162" spans="1:5" x14ac:dyDescent="0.2">
      <c r="A162" s="31">
        <v>46126</v>
      </c>
      <c r="B162" s="31" t="s">
        <v>250</v>
      </c>
      <c r="C162" s="33">
        <v>865.70117800000003</v>
      </c>
      <c r="D162" s="33">
        <v>1629.4652656693047</v>
      </c>
      <c r="E162" s="35">
        <v>1.1551330013322449</v>
      </c>
    </row>
    <row r="163" spans="1:5" x14ac:dyDescent="0.2">
      <c r="A163" s="29">
        <v>46127</v>
      </c>
      <c r="B163" s="29" t="s">
        <v>60</v>
      </c>
      <c r="C163" s="10">
        <v>2</v>
      </c>
      <c r="D163" s="10">
        <v>7175</v>
      </c>
      <c r="E163" s="11">
        <v>5.127527138375342</v>
      </c>
    </row>
    <row r="164" spans="1:5" x14ac:dyDescent="0.2">
      <c r="A164" s="31">
        <v>46127</v>
      </c>
      <c r="B164" s="31" t="s">
        <v>55</v>
      </c>
      <c r="C164" s="33">
        <v>3</v>
      </c>
      <c r="D164" s="33">
        <v>4770</v>
      </c>
      <c r="E164" s="35">
        <v>3.4088229198676494</v>
      </c>
    </row>
    <row r="165" spans="1:5" x14ac:dyDescent="0.2">
      <c r="A165" s="29">
        <v>46127</v>
      </c>
      <c r="B165" s="29" t="s">
        <v>52</v>
      </c>
      <c r="C165" s="10">
        <v>1</v>
      </c>
      <c r="D165" s="10">
        <v>60375</v>
      </c>
      <c r="E165" s="11">
        <v>43.146264944865685</v>
      </c>
    </row>
    <row r="166" spans="1:5" x14ac:dyDescent="0.2">
      <c r="A166" s="31">
        <v>46127</v>
      </c>
      <c r="B166" s="31" t="s">
        <v>50</v>
      </c>
      <c r="C166" s="33">
        <v>3</v>
      </c>
      <c r="D166" s="33">
        <v>31300</v>
      </c>
      <c r="E166" s="35">
        <v>22.368167168104282</v>
      </c>
    </row>
    <row r="167" spans="1:5" x14ac:dyDescent="0.2">
      <c r="A167" s="29">
        <v>46127</v>
      </c>
      <c r="B167" s="29" t="s">
        <v>33</v>
      </c>
      <c r="C167" s="10">
        <v>33</v>
      </c>
      <c r="D167" s="10">
        <v>22750</v>
      </c>
      <c r="E167" s="11">
        <v>16.258012877775474</v>
      </c>
    </row>
    <row r="168" spans="1:5" x14ac:dyDescent="0.2">
      <c r="A168" s="31">
        <v>46127</v>
      </c>
      <c r="B168" s="31" t="s">
        <v>36</v>
      </c>
      <c r="C168" s="33">
        <v>42</v>
      </c>
      <c r="D168" s="33">
        <v>40700</v>
      </c>
      <c r="E168" s="35">
        <v>29.0857636978225</v>
      </c>
    </row>
    <row r="169" spans="1:5" x14ac:dyDescent="0.2">
      <c r="A169" s="29">
        <v>46127</v>
      </c>
      <c r="B169" s="29" t="s">
        <v>44</v>
      </c>
      <c r="C169" s="10">
        <v>3</v>
      </c>
      <c r="D169" s="10">
        <v>12020</v>
      </c>
      <c r="E169" s="11">
        <v>8.5899479028949983</v>
      </c>
    </row>
    <row r="170" spans="1:5" x14ac:dyDescent="0.2">
      <c r="A170" s="31">
        <v>46127</v>
      </c>
      <c r="B170" s="31" t="s">
        <v>38</v>
      </c>
      <c r="C170" s="33">
        <v>6000</v>
      </c>
      <c r="D170" s="33">
        <v>1468</v>
      </c>
      <c r="E170" s="35">
        <v>1.0490884793219515</v>
      </c>
    </row>
    <row r="171" spans="1:5" x14ac:dyDescent="0.2">
      <c r="A171" s="29">
        <v>46127</v>
      </c>
      <c r="B171" s="29" t="s">
        <v>251</v>
      </c>
      <c r="C171" s="10">
        <v>685.30795599999999</v>
      </c>
      <c r="D171" s="10">
        <v>2033.7028744490456</v>
      </c>
      <c r="E171" s="11">
        <v>1.4533612097741355</v>
      </c>
    </row>
    <row r="172" spans="1:5" x14ac:dyDescent="0.2">
      <c r="A172" s="31">
        <v>46127</v>
      </c>
      <c r="B172" s="31" t="s">
        <v>250</v>
      </c>
      <c r="C172" s="33">
        <v>865.70117800000003</v>
      </c>
      <c r="D172" s="33">
        <v>1616.3891600942236</v>
      </c>
      <c r="E172" s="35">
        <v>1.1551330013322449</v>
      </c>
    </row>
    <row r="173" spans="1:5" x14ac:dyDescent="0.2">
      <c r="A173" s="29">
        <v>46128</v>
      </c>
      <c r="B173" s="29" t="s">
        <v>60</v>
      </c>
      <c r="C173" s="10">
        <v>2</v>
      </c>
      <c r="D173" s="10">
        <v>7130</v>
      </c>
      <c r="E173" s="11">
        <v>5.076648130611547</v>
      </c>
    </row>
    <row r="174" spans="1:5" x14ac:dyDescent="0.2">
      <c r="A174" s="31">
        <v>46128</v>
      </c>
      <c r="B174" s="31" t="s">
        <v>55</v>
      </c>
      <c r="C174" s="33">
        <v>3</v>
      </c>
      <c r="D174" s="33">
        <v>4795</v>
      </c>
      <c r="E174" s="35">
        <v>3.4140992687633056</v>
      </c>
    </row>
    <row r="175" spans="1:5" x14ac:dyDescent="0.2">
      <c r="A175" s="29">
        <v>46128</v>
      </c>
      <c r="B175" s="29" t="s">
        <v>52</v>
      </c>
      <c r="C175" s="10">
        <v>1</v>
      </c>
      <c r="D175" s="10">
        <v>60800</v>
      </c>
      <c r="E175" s="11">
        <v>43.290351520502398</v>
      </c>
    </row>
    <row r="176" spans="1:5" x14ac:dyDescent="0.2">
      <c r="A176" s="31">
        <v>46128</v>
      </c>
      <c r="B176" s="31" t="s">
        <v>50</v>
      </c>
      <c r="C176" s="33">
        <v>3</v>
      </c>
      <c r="D176" s="33">
        <v>30780</v>
      </c>
      <c r="E176" s="35">
        <v>21.915740457254337</v>
      </c>
    </row>
    <row r="177" spans="1:5" x14ac:dyDescent="0.2">
      <c r="A177" s="29">
        <v>46128</v>
      </c>
      <c r="B177" s="29" t="s">
        <v>33</v>
      </c>
      <c r="C177" s="10">
        <v>33</v>
      </c>
      <c r="D177" s="10">
        <v>22050</v>
      </c>
      <c r="E177" s="11">
        <v>15.699872549787464</v>
      </c>
    </row>
    <row r="178" spans="1:5" x14ac:dyDescent="0.2">
      <c r="A178" s="31">
        <v>46128</v>
      </c>
      <c r="B178" s="31" t="s">
        <v>36</v>
      </c>
      <c r="C178" s="33">
        <v>42</v>
      </c>
      <c r="D178" s="33">
        <v>40880</v>
      </c>
      <c r="E178" s="35">
        <v>29.107065298653584</v>
      </c>
    </row>
    <row r="179" spans="1:5" x14ac:dyDescent="0.2">
      <c r="A179" s="29">
        <v>46128</v>
      </c>
      <c r="B179" s="29" t="s">
        <v>44</v>
      </c>
      <c r="C179" s="10">
        <v>3</v>
      </c>
      <c r="D179" s="10">
        <v>11990</v>
      </c>
      <c r="E179" s="11">
        <v>8.5370282028096014</v>
      </c>
    </row>
    <row r="180" spans="1:5" x14ac:dyDescent="0.2">
      <c r="A180" s="31">
        <v>46128</v>
      </c>
      <c r="B180" s="31" t="s">
        <v>38</v>
      </c>
      <c r="C180" s="33">
        <v>6000</v>
      </c>
      <c r="D180" s="33">
        <v>1466</v>
      </c>
      <c r="E180" s="35">
        <v>1.0438101205436927</v>
      </c>
    </row>
    <row r="181" spans="1:5" x14ac:dyDescent="0.2">
      <c r="A181" s="29">
        <v>46128</v>
      </c>
      <c r="B181" s="29" t="s">
        <v>251</v>
      </c>
      <c r="C181" s="10">
        <v>685.30795599999999</v>
      </c>
      <c r="D181" s="10">
        <v>2037.1034186563566</v>
      </c>
      <c r="E181" s="11">
        <v>1.4504428137705729</v>
      </c>
    </row>
    <row r="182" spans="1:5" x14ac:dyDescent="0.2">
      <c r="A182" s="31">
        <v>46128</v>
      </c>
      <c r="B182" s="31" t="s">
        <v>250</v>
      </c>
      <c r="C182" s="33">
        <v>865.70117800000003</v>
      </c>
      <c r="D182" s="33">
        <v>1620.7272967347169</v>
      </c>
      <c r="E182" s="35">
        <v>1.1539778683309125</v>
      </c>
    </row>
    <row r="183" spans="1:5" x14ac:dyDescent="0.2">
      <c r="A183" s="29">
        <v>46129</v>
      </c>
      <c r="B183" s="29" t="s">
        <v>60</v>
      </c>
      <c r="C183" s="10">
        <v>2</v>
      </c>
      <c r="D183" s="10">
        <v>7005</v>
      </c>
      <c r="E183" s="11">
        <v>4.9571161684782616</v>
      </c>
    </row>
    <row r="184" spans="1:5" x14ac:dyDescent="0.2">
      <c r="A184" s="31">
        <v>46129</v>
      </c>
      <c r="B184" s="31" t="s">
        <v>55</v>
      </c>
      <c r="C184" s="33">
        <v>3</v>
      </c>
      <c r="D184" s="33">
        <v>4697.666666666667</v>
      </c>
      <c r="E184" s="35">
        <v>3.3243225392512081</v>
      </c>
    </row>
    <row r="185" spans="1:5" x14ac:dyDescent="0.2">
      <c r="A185" s="29">
        <v>46129</v>
      </c>
      <c r="B185" s="29" t="s">
        <v>52</v>
      </c>
      <c r="C185" s="10">
        <v>1</v>
      </c>
      <c r="D185" s="10">
        <v>59200</v>
      </c>
      <c r="E185" s="11">
        <v>41.893115942028992</v>
      </c>
    </row>
    <row r="186" spans="1:5" x14ac:dyDescent="0.2">
      <c r="A186" s="31">
        <v>46129</v>
      </c>
      <c r="B186" s="31" t="s">
        <v>50</v>
      </c>
      <c r="C186" s="33">
        <v>3</v>
      </c>
      <c r="D186" s="33">
        <v>31640</v>
      </c>
      <c r="E186" s="35">
        <v>22.390172101449277</v>
      </c>
    </row>
    <row r="187" spans="1:5" x14ac:dyDescent="0.2">
      <c r="A187" s="29">
        <v>46129</v>
      </c>
      <c r="B187" s="29" t="s">
        <v>33</v>
      </c>
      <c r="C187" s="10">
        <v>33</v>
      </c>
      <c r="D187" s="10">
        <v>22600</v>
      </c>
      <c r="E187" s="11">
        <v>15.992980072463769</v>
      </c>
    </row>
    <row r="188" spans="1:5" x14ac:dyDescent="0.2">
      <c r="A188" s="31">
        <v>46129</v>
      </c>
      <c r="B188" s="31" t="s">
        <v>36</v>
      </c>
      <c r="C188" s="33">
        <v>42</v>
      </c>
      <c r="D188" s="33">
        <v>41860</v>
      </c>
      <c r="E188" s="35">
        <v>29.622395833333336</v>
      </c>
    </row>
    <row r="189" spans="1:5" x14ac:dyDescent="0.2">
      <c r="A189" s="29">
        <v>46129</v>
      </c>
      <c r="B189" s="29" t="s">
        <v>44</v>
      </c>
      <c r="C189" s="10">
        <v>3</v>
      </c>
      <c r="D189" s="10">
        <v>12240</v>
      </c>
      <c r="E189" s="11">
        <v>8.6616847826086971</v>
      </c>
    </row>
    <row r="190" spans="1:5" x14ac:dyDescent="0.2">
      <c r="A190" s="31">
        <v>46129</v>
      </c>
      <c r="B190" s="31" t="s">
        <v>38</v>
      </c>
      <c r="C190" s="33">
        <v>6000</v>
      </c>
      <c r="D190" s="33">
        <v>1497.8</v>
      </c>
      <c r="E190" s="35">
        <v>1.0599241394927537</v>
      </c>
    </row>
    <row r="191" spans="1:5" x14ac:dyDescent="0.2">
      <c r="A191" s="29">
        <v>46129</v>
      </c>
      <c r="B191" s="29" t="s">
        <v>251</v>
      </c>
      <c r="C191" s="10">
        <v>685.30795599999999</v>
      </c>
      <c r="D191" s="10">
        <v>2055.8358146363034</v>
      </c>
      <c r="E191" s="11">
        <v>1.4548204077759168</v>
      </c>
    </row>
    <row r="192" spans="1:5" x14ac:dyDescent="0.2">
      <c r="A192" s="31">
        <v>46129</v>
      </c>
      <c r="B192" s="31" t="s">
        <v>250</v>
      </c>
      <c r="C192" s="33">
        <v>865.70117800000003</v>
      </c>
      <c r="D192" s="33">
        <v>1630.7092052957792</v>
      </c>
      <c r="E192" s="35">
        <v>1.1539778683309128</v>
      </c>
    </row>
    <row r="193" spans="1:5" x14ac:dyDescent="0.2">
      <c r="A193" s="29">
        <v>46132</v>
      </c>
      <c r="B193" s="29" t="s">
        <v>60</v>
      </c>
      <c r="C193" s="10">
        <v>2</v>
      </c>
      <c r="D193" s="10">
        <v>7055</v>
      </c>
      <c r="E193" s="11">
        <v>4.9936650174477455</v>
      </c>
    </row>
    <row r="194" spans="1:5" x14ac:dyDescent="0.2">
      <c r="A194" s="31">
        <v>46132</v>
      </c>
      <c r="B194" s="31" t="s">
        <v>55</v>
      </c>
      <c r="C194" s="33">
        <v>3</v>
      </c>
      <c r="D194" s="33">
        <v>4797.666666666667</v>
      </c>
      <c r="E194" s="35">
        <v>3.3958809636723553</v>
      </c>
    </row>
    <row r="195" spans="1:5" x14ac:dyDescent="0.2">
      <c r="A195" s="29">
        <v>46132</v>
      </c>
      <c r="B195" s="29" t="s">
        <v>52</v>
      </c>
      <c r="C195" s="10">
        <v>1</v>
      </c>
      <c r="D195" s="10">
        <v>60375</v>
      </c>
      <c r="E195" s="11">
        <v>42.734589004735312</v>
      </c>
    </row>
    <row r="196" spans="1:5" x14ac:dyDescent="0.2">
      <c r="A196" s="31">
        <v>46132</v>
      </c>
      <c r="B196" s="31" t="s">
        <v>50</v>
      </c>
      <c r="C196" s="33">
        <v>3</v>
      </c>
      <c r="D196" s="33">
        <v>31520</v>
      </c>
      <c r="E196" s="35">
        <v>22.310463692410053</v>
      </c>
    </row>
    <row r="197" spans="1:5" x14ac:dyDescent="0.2">
      <c r="A197" s="29">
        <v>46132</v>
      </c>
      <c r="B197" s="29" t="s">
        <v>33</v>
      </c>
      <c r="C197" s="10">
        <v>33</v>
      </c>
      <c r="D197" s="10">
        <v>22770</v>
      </c>
      <c r="E197" s="11">
        <v>16.117044996071602</v>
      </c>
    </row>
    <row r="198" spans="1:5" x14ac:dyDescent="0.2">
      <c r="A198" s="31">
        <v>46132</v>
      </c>
      <c r="B198" s="31" t="s">
        <v>36</v>
      </c>
      <c r="C198" s="33">
        <v>42</v>
      </c>
      <c r="D198" s="33">
        <v>41060</v>
      </c>
      <c r="E198" s="35">
        <v>29.063059619617921</v>
      </c>
    </row>
    <row r="199" spans="1:5" x14ac:dyDescent="0.2">
      <c r="A199" s="29">
        <v>46132</v>
      </c>
      <c r="B199" s="29" t="s">
        <v>44</v>
      </c>
      <c r="C199" s="10">
        <v>3</v>
      </c>
      <c r="D199" s="10">
        <v>12330</v>
      </c>
      <c r="E199" s="11">
        <v>8.7274117172403542</v>
      </c>
    </row>
    <row r="200" spans="1:5" x14ac:dyDescent="0.2">
      <c r="A200" s="31">
        <v>46132</v>
      </c>
      <c r="B200" s="31" t="s">
        <v>38</v>
      </c>
      <c r="C200" s="33">
        <v>6000</v>
      </c>
      <c r="D200" s="33">
        <v>1487</v>
      </c>
      <c r="E200" s="35">
        <v>1.0525272687377458</v>
      </c>
    </row>
    <row r="201" spans="1:5" x14ac:dyDescent="0.2">
      <c r="A201" s="29">
        <v>46132</v>
      </c>
      <c r="B201" s="29" t="s">
        <v>251</v>
      </c>
      <c r="C201" s="10">
        <v>685.30795599999999</v>
      </c>
      <c r="D201" s="10">
        <v>2059.4788045916102</v>
      </c>
      <c r="E201" s="11">
        <v>1.4577388037794792</v>
      </c>
    </row>
    <row r="202" spans="1:5" x14ac:dyDescent="0.2">
      <c r="A202" s="31">
        <v>46132</v>
      </c>
      <c r="B202" s="31" t="s">
        <v>250</v>
      </c>
      <c r="C202" s="33">
        <v>865.70117800000003</v>
      </c>
      <c r="D202" s="33">
        <v>1631.9603529521823</v>
      </c>
      <c r="E202" s="35">
        <v>1.1551330013322449</v>
      </c>
    </row>
    <row r="203" spans="1:5" x14ac:dyDescent="0.2">
      <c r="A203" s="29">
        <v>46133</v>
      </c>
      <c r="B203" s="29" t="s">
        <v>60</v>
      </c>
      <c r="C203" s="10">
        <v>2</v>
      </c>
      <c r="D203" s="10">
        <v>7025</v>
      </c>
      <c r="E203" s="11">
        <v>4.9830823467657845</v>
      </c>
    </row>
    <row r="204" spans="1:5" x14ac:dyDescent="0.2">
      <c r="A204" s="31">
        <v>46133</v>
      </c>
      <c r="B204" s="31" t="s">
        <v>55</v>
      </c>
      <c r="C204" s="33">
        <v>3</v>
      </c>
      <c r="D204" s="33">
        <v>4880</v>
      </c>
      <c r="E204" s="35">
        <v>3.4615575590344525</v>
      </c>
    </row>
    <row r="205" spans="1:5" x14ac:dyDescent="0.2">
      <c r="A205" s="29">
        <v>46133</v>
      </c>
      <c r="B205" s="29" t="s">
        <v>52</v>
      </c>
      <c r="C205" s="10">
        <v>1</v>
      </c>
      <c r="D205" s="10">
        <v>63375</v>
      </c>
      <c r="E205" s="11">
        <v>44.954141455698448</v>
      </c>
    </row>
    <row r="206" spans="1:5" x14ac:dyDescent="0.2">
      <c r="A206" s="31">
        <v>46133</v>
      </c>
      <c r="B206" s="31" t="s">
        <v>50</v>
      </c>
      <c r="C206" s="33">
        <v>3</v>
      </c>
      <c r="D206" s="33">
        <v>29700</v>
      </c>
      <c r="E206" s="35">
        <v>21.067266291664598</v>
      </c>
    </row>
    <row r="207" spans="1:5" x14ac:dyDescent="0.2">
      <c r="A207" s="29">
        <v>46133</v>
      </c>
      <c r="B207" s="29" t="s">
        <v>33</v>
      </c>
      <c r="C207" s="10">
        <v>33</v>
      </c>
      <c r="D207" s="10">
        <v>22660</v>
      </c>
      <c r="E207" s="11">
        <v>16.073543911418174</v>
      </c>
    </row>
    <row r="208" spans="1:5" x14ac:dyDescent="0.2">
      <c r="A208" s="31">
        <v>46133</v>
      </c>
      <c r="B208" s="31" t="s">
        <v>36</v>
      </c>
      <c r="C208" s="33">
        <v>42</v>
      </c>
      <c r="D208" s="33">
        <v>40860</v>
      </c>
      <c r="E208" s="35">
        <v>28.983451201259779</v>
      </c>
    </row>
    <row r="209" spans="1:5" x14ac:dyDescent="0.2">
      <c r="A209" s="29">
        <v>46133</v>
      </c>
      <c r="B209" s="29" t="s">
        <v>44</v>
      </c>
      <c r="C209" s="10">
        <v>3</v>
      </c>
      <c r="D209" s="10">
        <v>12180</v>
      </c>
      <c r="E209" s="11">
        <v>8.6397071862786134</v>
      </c>
    </row>
    <row r="210" spans="1:5" x14ac:dyDescent="0.2">
      <c r="A210" s="31">
        <v>46133</v>
      </c>
      <c r="B210" s="31" t="s">
        <v>38</v>
      </c>
      <c r="C210" s="33">
        <v>6000</v>
      </c>
      <c r="D210" s="33">
        <v>1492</v>
      </c>
      <c r="E210" s="35">
        <v>1.0583286635408613</v>
      </c>
    </row>
    <row r="211" spans="1:5" x14ac:dyDescent="0.2">
      <c r="A211" s="29">
        <v>46133</v>
      </c>
      <c r="B211" s="29" t="s">
        <v>251</v>
      </c>
      <c r="C211" s="10">
        <v>685.30795599999999</v>
      </c>
      <c r="D211" s="10">
        <v>2038.6193648684273</v>
      </c>
      <c r="E211" s="11">
        <v>1.4460652197652293</v>
      </c>
    </row>
    <row r="212" spans="1:5" x14ac:dyDescent="0.2">
      <c r="A212" s="31">
        <v>46133</v>
      </c>
      <c r="B212" s="31" t="s">
        <v>250</v>
      </c>
      <c r="C212" s="33">
        <v>865.70117800000003</v>
      </c>
      <c r="D212" s="33">
        <v>1628.4718512881589</v>
      </c>
      <c r="E212" s="35">
        <v>1.1551330013322449</v>
      </c>
    </row>
    <row r="213" spans="1:5" x14ac:dyDescent="0.2">
      <c r="A213" s="29">
        <v>46134</v>
      </c>
      <c r="B213" s="29" t="s">
        <v>60</v>
      </c>
      <c r="C213" s="10">
        <v>2</v>
      </c>
      <c r="D213" s="10">
        <v>6810</v>
      </c>
      <c r="E213" s="11">
        <v>4.7983089660031704</v>
      </c>
    </row>
    <row r="214" spans="1:5" x14ac:dyDescent="0.2">
      <c r="A214" s="31">
        <v>46134</v>
      </c>
      <c r="B214" s="31" t="s">
        <v>55</v>
      </c>
      <c r="C214" s="33">
        <v>3</v>
      </c>
      <c r="D214" s="33">
        <v>4862.666666666667</v>
      </c>
      <c r="E214" s="35">
        <v>3.4262227702424992</v>
      </c>
    </row>
    <row r="215" spans="1:5" x14ac:dyDescent="0.2">
      <c r="A215" s="29">
        <v>46134</v>
      </c>
      <c r="B215" s="29" t="s">
        <v>52</v>
      </c>
      <c r="C215" s="10">
        <v>1</v>
      </c>
      <c r="D215" s="10">
        <v>63575</v>
      </c>
      <c r="E215" s="11">
        <v>44.794785978509779</v>
      </c>
    </row>
    <row r="216" spans="1:5" x14ac:dyDescent="0.2">
      <c r="A216" s="31">
        <v>46134</v>
      </c>
      <c r="B216" s="31" t="s">
        <v>50</v>
      </c>
      <c r="C216" s="33">
        <v>3</v>
      </c>
      <c r="D216" s="33">
        <v>29900</v>
      </c>
      <c r="E216" s="35">
        <v>21.067465210498504</v>
      </c>
    </row>
    <row r="217" spans="1:5" x14ac:dyDescent="0.2">
      <c r="A217" s="29">
        <v>46134</v>
      </c>
      <c r="B217" s="29" t="s">
        <v>33</v>
      </c>
      <c r="C217" s="10">
        <v>33</v>
      </c>
      <c r="D217" s="10">
        <v>22800</v>
      </c>
      <c r="E217" s="11">
        <v>16.064822969878456</v>
      </c>
    </row>
    <row r="218" spans="1:5" x14ac:dyDescent="0.2">
      <c r="A218" s="31">
        <v>46134</v>
      </c>
      <c r="B218" s="31" t="s">
        <v>36</v>
      </c>
      <c r="C218" s="33">
        <v>42</v>
      </c>
      <c r="D218" s="33">
        <v>41500</v>
      </c>
      <c r="E218" s="35">
        <v>29.240796195173505</v>
      </c>
    </row>
    <row r="219" spans="1:5" x14ac:dyDescent="0.2">
      <c r="A219" s="29">
        <v>46134</v>
      </c>
      <c r="B219" s="29" t="s">
        <v>44</v>
      </c>
      <c r="C219" s="10">
        <v>3</v>
      </c>
      <c r="D219" s="10">
        <v>12380</v>
      </c>
      <c r="E219" s="11">
        <v>8.7229170336445314</v>
      </c>
    </row>
    <row r="220" spans="1:5" x14ac:dyDescent="0.2">
      <c r="A220" s="31">
        <v>46134</v>
      </c>
      <c r="B220" s="31" t="s">
        <v>38</v>
      </c>
      <c r="C220" s="33">
        <v>6000</v>
      </c>
      <c r="D220" s="33">
        <v>1496</v>
      </c>
      <c r="E220" s="35">
        <v>1.0540778580236041</v>
      </c>
    </row>
    <row r="221" spans="1:5" x14ac:dyDescent="0.2">
      <c r="A221" s="29">
        <v>46134</v>
      </c>
      <c r="B221" s="29" t="s">
        <v>251</v>
      </c>
      <c r="C221" s="10">
        <v>685.30795599999999</v>
      </c>
      <c r="D221" s="10">
        <v>2052.3280631518014</v>
      </c>
      <c r="E221" s="11">
        <v>1.4460652197652291</v>
      </c>
    </row>
    <row r="222" spans="1:5" x14ac:dyDescent="0.2">
      <c r="A222" s="31">
        <v>46134</v>
      </c>
      <c r="B222" s="31" t="s">
        <v>250</v>
      </c>
      <c r="C222" s="33">
        <v>865.70117800000003</v>
      </c>
      <c r="D222" s="33">
        <v>1639.4225121407885</v>
      </c>
      <c r="E222" s="35">
        <v>1.1551330013322449</v>
      </c>
    </row>
    <row r="223" spans="1:5" x14ac:dyDescent="0.2">
      <c r="A223" s="29">
        <v>46135</v>
      </c>
      <c r="B223" s="29" t="s">
        <v>60</v>
      </c>
      <c r="C223" s="10">
        <v>2</v>
      </c>
      <c r="D223" s="10">
        <v>6415</v>
      </c>
      <c r="E223" s="11">
        <v>4.5190058891487501</v>
      </c>
    </row>
    <row r="224" spans="1:5" x14ac:dyDescent="0.2">
      <c r="A224" s="31">
        <v>46135</v>
      </c>
      <c r="B224" s="31" t="s">
        <v>55</v>
      </c>
      <c r="C224" s="33">
        <v>3</v>
      </c>
      <c r="D224" s="33">
        <v>4905</v>
      </c>
      <c r="E224" s="35">
        <v>3.4552960072135028</v>
      </c>
    </row>
    <row r="225" spans="1:5" x14ac:dyDescent="0.2">
      <c r="A225" s="29">
        <v>46135</v>
      </c>
      <c r="B225" s="29" t="s">
        <v>52</v>
      </c>
      <c r="C225" s="10">
        <v>1</v>
      </c>
      <c r="D225" s="10">
        <v>63950</v>
      </c>
      <c r="E225" s="11">
        <v>45.049170165403368</v>
      </c>
    </row>
    <row r="226" spans="1:5" x14ac:dyDescent="0.2">
      <c r="A226" s="31">
        <v>46135</v>
      </c>
      <c r="B226" s="31" t="s">
        <v>50</v>
      </c>
      <c r="C226" s="33">
        <v>3</v>
      </c>
      <c r="D226" s="33">
        <v>29620</v>
      </c>
      <c r="E226" s="35">
        <v>20.865620333060949</v>
      </c>
    </row>
    <row r="227" spans="1:5" x14ac:dyDescent="0.2">
      <c r="A227" s="29">
        <v>46135</v>
      </c>
      <c r="B227" s="29" t="s">
        <v>33</v>
      </c>
      <c r="C227" s="10">
        <v>33</v>
      </c>
      <c r="D227" s="10">
        <v>22270</v>
      </c>
      <c r="E227" s="11">
        <v>15.68795964946885</v>
      </c>
    </row>
    <row r="228" spans="1:5" x14ac:dyDescent="0.2">
      <c r="A228" s="31">
        <v>46135</v>
      </c>
      <c r="B228" s="31" t="s">
        <v>36</v>
      </c>
      <c r="C228" s="33">
        <v>42</v>
      </c>
      <c r="D228" s="33">
        <v>40580</v>
      </c>
      <c r="E228" s="35">
        <v>28.586322522471754</v>
      </c>
    </row>
    <row r="229" spans="1:5" x14ac:dyDescent="0.2">
      <c r="A229" s="29">
        <v>46135</v>
      </c>
      <c r="B229" s="29" t="s">
        <v>44</v>
      </c>
      <c r="C229" s="10">
        <v>3</v>
      </c>
      <c r="D229" s="10">
        <v>12270</v>
      </c>
      <c r="E229" s="11">
        <v>8.6435233452619133</v>
      </c>
    </row>
    <row r="230" spans="1:5" x14ac:dyDescent="0.2">
      <c r="A230" s="31">
        <v>46135</v>
      </c>
      <c r="B230" s="31" t="s">
        <v>38</v>
      </c>
      <c r="C230" s="33">
        <v>6000</v>
      </c>
      <c r="D230" s="33">
        <v>1508</v>
      </c>
      <c r="E230" s="35">
        <v>1.0623009946744062</v>
      </c>
    </row>
    <row r="231" spans="1:5" x14ac:dyDescent="0.2">
      <c r="A231" s="29">
        <v>46135</v>
      </c>
      <c r="B231" s="29" t="s">
        <v>251</v>
      </c>
      <c r="C231" s="10">
        <v>685.30795599999999</v>
      </c>
      <c r="D231" s="10">
        <v>2038.2764095620685</v>
      </c>
      <c r="E231" s="11">
        <v>1.4358508337527605</v>
      </c>
    </row>
    <row r="232" spans="1:5" x14ac:dyDescent="0.2">
      <c r="A232" s="31">
        <v>46135</v>
      </c>
      <c r="B232" s="31" t="s">
        <v>250</v>
      </c>
      <c r="C232" s="33">
        <v>865.70117800000003</v>
      </c>
      <c r="D232" s="33">
        <v>1639.7806033712016</v>
      </c>
      <c r="E232" s="35">
        <v>1.1551330013322449</v>
      </c>
    </row>
    <row r="233" spans="1:5" x14ac:dyDescent="0.2">
      <c r="A233" s="29">
        <v>46136</v>
      </c>
      <c r="B233" s="29" t="s">
        <v>60</v>
      </c>
      <c r="C233" s="10">
        <v>2</v>
      </c>
      <c r="D233" s="10">
        <v>6465</v>
      </c>
      <c r="E233" s="11">
        <v>4.4957024839364692</v>
      </c>
    </row>
    <row r="234" spans="1:5" x14ac:dyDescent="0.2">
      <c r="A234" s="31">
        <v>46136</v>
      </c>
      <c r="B234" s="31" t="s">
        <v>55</v>
      </c>
      <c r="C234" s="33">
        <v>3</v>
      </c>
      <c r="D234" s="33">
        <v>4837.666666666667</v>
      </c>
      <c r="E234" s="35">
        <v>3.3640696132699142</v>
      </c>
    </row>
    <row r="235" spans="1:5" x14ac:dyDescent="0.2">
      <c r="A235" s="29">
        <v>46136</v>
      </c>
      <c r="B235" s="29" t="s">
        <v>52</v>
      </c>
      <c r="C235" s="10">
        <v>1</v>
      </c>
      <c r="D235" s="10">
        <v>64250</v>
      </c>
      <c r="E235" s="11">
        <v>44.678868459848125</v>
      </c>
    </row>
    <row r="236" spans="1:5" x14ac:dyDescent="0.2">
      <c r="A236" s="31">
        <v>46136</v>
      </c>
      <c r="B236" s="31" t="s">
        <v>50</v>
      </c>
      <c r="C236" s="33">
        <v>3</v>
      </c>
      <c r="D236" s="33">
        <v>30640</v>
      </c>
      <c r="E236" s="35">
        <v>21.306778670968818</v>
      </c>
    </row>
    <row r="237" spans="1:5" x14ac:dyDescent="0.2">
      <c r="A237" s="29">
        <v>46136</v>
      </c>
      <c r="B237" s="29" t="s">
        <v>33</v>
      </c>
      <c r="C237" s="10">
        <v>33</v>
      </c>
      <c r="D237" s="10">
        <v>22850</v>
      </c>
      <c r="E237" s="11">
        <v>15.889683179883731</v>
      </c>
    </row>
    <row r="238" spans="1:5" x14ac:dyDescent="0.2">
      <c r="A238" s="31">
        <v>46136</v>
      </c>
      <c r="B238" s="31" t="s">
        <v>36</v>
      </c>
      <c r="C238" s="33">
        <v>42</v>
      </c>
      <c r="D238" s="33">
        <v>42180</v>
      </c>
      <c r="E238" s="35">
        <v>29.331590220021695</v>
      </c>
    </row>
    <row r="239" spans="1:5" x14ac:dyDescent="0.2">
      <c r="A239" s="29">
        <v>46136</v>
      </c>
      <c r="B239" s="29" t="s">
        <v>44</v>
      </c>
      <c r="C239" s="10">
        <v>3</v>
      </c>
      <c r="D239" s="10">
        <v>12960</v>
      </c>
      <c r="E239" s="11">
        <v>9.0122666963366811</v>
      </c>
    </row>
    <row r="240" spans="1:5" x14ac:dyDescent="0.2">
      <c r="A240" s="31">
        <v>46136</v>
      </c>
      <c r="B240" s="31" t="s">
        <v>38</v>
      </c>
      <c r="C240" s="33">
        <v>6000</v>
      </c>
      <c r="D240" s="33">
        <v>1589.9</v>
      </c>
      <c r="E240" s="35">
        <v>1.1056020694834636</v>
      </c>
    </row>
    <row r="241" spans="1:5" x14ac:dyDescent="0.2">
      <c r="A241" s="29">
        <v>46136</v>
      </c>
      <c r="B241" s="29" t="s">
        <v>251</v>
      </c>
      <c r="C241" s="10">
        <v>685.30795599999999</v>
      </c>
      <c r="D241" s="10">
        <v>2062.7125478753383</v>
      </c>
      <c r="E241" s="11">
        <v>1.4343916357509794</v>
      </c>
    </row>
    <row r="242" spans="1:5" x14ac:dyDescent="0.2">
      <c r="A242" s="31">
        <v>46136</v>
      </c>
      <c r="B242" s="31" t="s">
        <v>250</v>
      </c>
      <c r="C242" s="33">
        <v>865.70117800000003</v>
      </c>
      <c r="D242" s="33">
        <v>1661.1274612358213</v>
      </c>
      <c r="E242" s="35">
        <v>1.1551330013322449</v>
      </c>
    </row>
    <row r="243" spans="1:5" x14ac:dyDescent="0.2">
      <c r="A243" s="29">
        <v>46139</v>
      </c>
      <c r="B243" s="29" t="s">
        <v>60</v>
      </c>
      <c r="C243" s="10">
        <v>2</v>
      </c>
      <c r="D243" s="10">
        <v>6520</v>
      </c>
      <c r="E243" s="11">
        <v>4.4674057528126836</v>
      </c>
    </row>
    <row r="244" spans="1:5" x14ac:dyDescent="0.2">
      <c r="A244" s="31">
        <v>46139</v>
      </c>
      <c r="B244" s="31" t="s">
        <v>55</v>
      </c>
      <c r="C244" s="33">
        <v>3</v>
      </c>
      <c r="D244" s="33">
        <v>4902.666666666667</v>
      </c>
      <c r="E244" s="35">
        <v>3.3592333237407446</v>
      </c>
    </row>
    <row r="245" spans="1:5" x14ac:dyDescent="0.2">
      <c r="A245" s="29">
        <v>46139</v>
      </c>
      <c r="B245" s="29" t="s">
        <v>52</v>
      </c>
      <c r="C245" s="10">
        <v>1</v>
      </c>
      <c r="D245" s="10">
        <v>65100</v>
      </c>
      <c r="E245" s="11">
        <v>44.60553903498554</v>
      </c>
    </row>
    <row r="246" spans="1:5" x14ac:dyDescent="0.2">
      <c r="A246" s="31">
        <v>46139</v>
      </c>
      <c r="B246" s="31" t="s">
        <v>50</v>
      </c>
      <c r="C246" s="33">
        <v>3</v>
      </c>
      <c r="D246" s="33">
        <v>30840</v>
      </c>
      <c r="E246" s="35">
        <v>21.131103284776561</v>
      </c>
    </row>
    <row r="247" spans="1:5" x14ac:dyDescent="0.2">
      <c r="A247" s="29">
        <v>46139</v>
      </c>
      <c r="B247" s="29" t="s">
        <v>33</v>
      </c>
      <c r="C247" s="10">
        <v>33</v>
      </c>
      <c r="D247" s="10">
        <v>23310</v>
      </c>
      <c r="E247" s="11">
        <v>15.971660751236758</v>
      </c>
    </row>
    <row r="248" spans="1:5" x14ac:dyDescent="0.2">
      <c r="A248" s="31">
        <v>46139</v>
      </c>
      <c r="B248" s="31" t="s">
        <v>36</v>
      </c>
      <c r="C248" s="33">
        <v>42</v>
      </c>
      <c r="D248" s="33">
        <v>42940</v>
      </c>
      <c r="E248" s="35">
        <v>29.421840954873719</v>
      </c>
    </row>
    <row r="249" spans="1:5" x14ac:dyDescent="0.2">
      <c r="A249" s="29">
        <v>46139</v>
      </c>
      <c r="B249" s="29" t="s">
        <v>44</v>
      </c>
      <c r="C249" s="10">
        <v>3</v>
      </c>
      <c r="D249" s="10">
        <v>13670</v>
      </c>
      <c r="E249" s="11">
        <v>9.3664780124155502</v>
      </c>
    </row>
    <row r="250" spans="1:5" x14ac:dyDescent="0.2">
      <c r="A250" s="31">
        <v>46139</v>
      </c>
      <c r="B250" s="31" t="s">
        <v>38</v>
      </c>
      <c r="C250" s="33">
        <v>6000</v>
      </c>
      <c r="D250" s="33">
        <v>1551.3</v>
      </c>
      <c r="E250" s="35">
        <v>1.0629273841009688</v>
      </c>
    </row>
    <row r="251" spans="1:5" x14ac:dyDescent="0.2">
      <c r="A251" s="29">
        <v>46139</v>
      </c>
      <c r="B251" s="29" t="s">
        <v>251</v>
      </c>
      <c r="C251" s="10">
        <v>685.30795599999999</v>
      </c>
      <c r="D251" s="10">
        <v>2078.529728903366</v>
      </c>
      <c r="E251" s="11">
        <v>1.4241772497385101</v>
      </c>
    </row>
    <row r="252" spans="1:5" x14ac:dyDescent="0.2">
      <c r="A252" s="31">
        <v>46139</v>
      </c>
      <c r="B252" s="31" t="s">
        <v>250</v>
      </c>
      <c r="C252" s="33">
        <v>865.70117800000003</v>
      </c>
      <c r="D252" s="33">
        <v>1685.8704101243582</v>
      </c>
      <c r="E252" s="35">
        <v>1.1551330013322449</v>
      </c>
    </row>
    <row r="253" spans="1:5" x14ac:dyDescent="0.2">
      <c r="A253" s="29">
        <v>46140</v>
      </c>
      <c r="B253" s="9" t="s">
        <v>60</v>
      </c>
      <c r="C253" s="10">
        <v>2</v>
      </c>
      <c r="D253" s="10">
        <v>6520</v>
      </c>
      <c r="E253" s="11">
        <v>4.5346111849105943</v>
      </c>
    </row>
    <row r="254" spans="1:5" x14ac:dyDescent="0.2">
      <c r="A254" s="31">
        <v>46140</v>
      </c>
      <c r="B254" s="32" t="s">
        <v>55</v>
      </c>
      <c r="C254" s="33">
        <v>3</v>
      </c>
      <c r="D254" s="33">
        <v>4935</v>
      </c>
      <c r="E254" s="35">
        <v>3.4322555517689852</v>
      </c>
    </row>
    <row r="255" spans="1:5" x14ac:dyDescent="0.2">
      <c r="A255" s="29">
        <v>46140</v>
      </c>
      <c r="B255" s="9" t="s">
        <v>52</v>
      </c>
      <c r="C255" s="10">
        <v>1</v>
      </c>
      <c r="D255" s="10">
        <v>65325</v>
      </c>
      <c r="E255" s="11">
        <v>45.433048413233834</v>
      </c>
    </row>
    <row r="256" spans="1:5" x14ac:dyDescent="0.2">
      <c r="A256" s="31">
        <v>46140</v>
      </c>
      <c r="B256" s="32" t="s">
        <v>50</v>
      </c>
      <c r="C256" s="33">
        <v>3</v>
      </c>
      <c r="D256" s="33">
        <v>29380</v>
      </c>
      <c r="E256" s="35">
        <v>20.433570032618601</v>
      </c>
    </row>
    <row r="257" spans="1:5" x14ac:dyDescent="0.2">
      <c r="A257" s="29">
        <v>46140</v>
      </c>
      <c r="B257" s="9" t="s">
        <v>33</v>
      </c>
      <c r="C257" s="10">
        <v>33</v>
      </c>
      <c r="D257" s="10">
        <v>22450</v>
      </c>
      <c r="E257" s="11">
        <v>15.613806917368535</v>
      </c>
    </row>
    <row r="258" spans="1:5" x14ac:dyDescent="0.2">
      <c r="A258" s="31">
        <v>46140</v>
      </c>
      <c r="B258" s="32" t="s">
        <v>36</v>
      </c>
      <c r="C258" s="33">
        <v>42</v>
      </c>
      <c r="D258" s="33">
        <v>42000</v>
      </c>
      <c r="E258" s="35">
        <v>29.210685546970087</v>
      </c>
    </row>
    <row r="259" spans="1:5" x14ac:dyDescent="0.2">
      <c r="A259" s="29">
        <v>46140</v>
      </c>
      <c r="B259" s="9" t="s">
        <v>44</v>
      </c>
      <c r="C259" s="10">
        <v>3</v>
      </c>
      <c r="D259" s="10">
        <v>13360</v>
      </c>
      <c r="E259" s="11">
        <v>9.2917799739885805</v>
      </c>
    </row>
    <row r="260" spans="1:5" x14ac:dyDescent="0.2">
      <c r="A260" s="31">
        <v>46140</v>
      </c>
      <c r="B260" s="32" t="s">
        <v>38</v>
      </c>
      <c r="C260" s="33">
        <v>6000</v>
      </c>
      <c r="D260" s="33">
        <v>1542.9</v>
      </c>
      <c r="E260" s="35">
        <v>1.073075398343337</v>
      </c>
    </row>
    <row r="261" spans="1:5" x14ac:dyDescent="0.2">
      <c r="A261" s="29">
        <v>46140</v>
      </c>
      <c r="B261" s="9" t="s">
        <v>251</v>
      </c>
      <c r="C261" s="10">
        <v>685.30795599999999</v>
      </c>
      <c r="D261" s="10">
        <v>2041.4305390028185</v>
      </c>
      <c r="E261" s="11">
        <v>1.4197996557331665</v>
      </c>
    </row>
    <row r="262" spans="1:5" x14ac:dyDescent="0.2">
      <c r="A262" s="31">
        <v>46140</v>
      </c>
      <c r="B262" s="32" t="s">
        <v>250</v>
      </c>
      <c r="C262" s="33">
        <v>865.70117800000003</v>
      </c>
      <c r="D262" s="33">
        <v>1659.223998422236</v>
      </c>
      <c r="E262" s="35">
        <v>1.1539778683309125</v>
      </c>
    </row>
    <row r="263" spans="1:5" x14ac:dyDescent="0.2">
      <c r="A263" s="29">
        <v>46141</v>
      </c>
      <c r="B263" s="29" t="s">
        <v>60</v>
      </c>
      <c r="C263" s="10">
        <v>2</v>
      </c>
      <c r="D263" s="10">
        <v>6380</v>
      </c>
      <c r="E263" s="11">
        <v>4.4520739128007589</v>
      </c>
    </row>
    <row r="264" spans="1:5" x14ac:dyDescent="0.2">
      <c r="A264" s="31">
        <v>46141</v>
      </c>
      <c r="B264" s="31" t="s">
        <v>55</v>
      </c>
      <c r="C264" s="33">
        <v>3</v>
      </c>
      <c r="D264" s="33">
        <v>4957.666666666667</v>
      </c>
      <c r="E264" s="35">
        <v>3.4595452092521262</v>
      </c>
    </row>
    <row r="265" spans="1:5" x14ac:dyDescent="0.2">
      <c r="A265" s="29">
        <v>46141</v>
      </c>
      <c r="B265" s="29" t="s">
        <v>52</v>
      </c>
      <c r="C265" s="10">
        <v>1</v>
      </c>
      <c r="D265" s="10">
        <v>67025</v>
      </c>
      <c r="E265" s="11">
        <v>46.77119968737788</v>
      </c>
    </row>
    <row r="266" spans="1:5" x14ac:dyDescent="0.2">
      <c r="A266" s="31">
        <v>46141</v>
      </c>
      <c r="B266" s="31" t="s">
        <v>50</v>
      </c>
      <c r="C266" s="33">
        <v>3</v>
      </c>
      <c r="D266" s="33">
        <v>28660</v>
      </c>
      <c r="E266" s="35">
        <v>19.99944174621783</v>
      </c>
    </row>
    <row r="267" spans="1:5" x14ac:dyDescent="0.2">
      <c r="A267" s="29">
        <v>46141</v>
      </c>
      <c r="B267" s="29" t="s">
        <v>33</v>
      </c>
      <c r="C267" s="10">
        <v>33</v>
      </c>
      <c r="D267" s="10">
        <v>21950</v>
      </c>
      <c r="E267" s="11">
        <v>15.317088148272205</v>
      </c>
    </row>
    <row r="268" spans="1:5" x14ac:dyDescent="0.2">
      <c r="A268" s="31">
        <v>46141</v>
      </c>
      <c r="B268" s="31" t="s">
        <v>36</v>
      </c>
      <c r="C268" s="33">
        <v>42</v>
      </c>
      <c r="D268" s="33">
        <v>41680</v>
      </c>
      <c r="E268" s="35">
        <v>29.085022051024396</v>
      </c>
    </row>
    <row r="269" spans="1:5" x14ac:dyDescent="0.2">
      <c r="A269" s="29">
        <v>46141</v>
      </c>
      <c r="B269" s="29" t="s">
        <v>44</v>
      </c>
      <c r="C269" s="10">
        <v>3</v>
      </c>
      <c r="D269" s="10">
        <v>12960</v>
      </c>
      <c r="E269" s="11">
        <v>9.043711271143863</v>
      </c>
    </row>
    <row r="270" spans="1:5" x14ac:dyDescent="0.2">
      <c r="A270" s="31">
        <v>46141</v>
      </c>
      <c r="B270" s="31" t="s">
        <v>38</v>
      </c>
      <c r="C270" s="33">
        <v>6000</v>
      </c>
      <c r="D270" s="33">
        <v>1528.4</v>
      </c>
      <c r="E270" s="35">
        <v>1.0665438508345895</v>
      </c>
    </row>
    <row r="271" spans="1:5" x14ac:dyDescent="0.2">
      <c r="A271" s="29">
        <v>46141</v>
      </c>
      <c r="B271" s="29" t="s">
        <v>251</v>
      </c>
      <c r="C271" s="10">
        <v>685.30795599999999</v>
      </c>
      <c r="D271" s="10">
        <v>2038.8118768608022</v>
      </c>
      <c r="E271" s="11">
        <v>1.4227180517367291</v>
      </c>
    </row>
    <row r="272" spans="1:5" x14ac:dyDescent="0.2">
      <c r="A272" s="31">
        <v>46141</v>
      </c>
      <c r="B272" s="31" t="s">
        <v>250</v>
      </c>
      <c r="C272" s="33">
        <v>865.70117800000003</v>
      </c>
      <c r="D272" s="33">
        <v>1653.696444432931</v>
      </c>
      <c r="E272" s="35">
        <v>1.1539778683309125</v>
      </c>
    </row>
    <row r="273" spans="1:5" x14ac:dyDescent="0.2">
      <c r="A273" s="29">
        <v>46142</v>
      </c>
      <c r="B273" s="29" t="s">
        <v>60</v>
      </c>
      <c r="C273" s="10">
        <v>2</v>
      </c>
      <c r="D273" s="10">
        <v>6220</v>
      </c>
      <c r="E273" s="11">
        <v>4.2928229797160657</v>
      </c>
    </row>
    <row r="274" spans="1:5" x14ac:dyDescent="0.2">
      <c r="A274" s="31">
        <v>46142</v>
      </c>
      <c r="B274" s="31" t="s">
        <v>55</v>
      </c>
      <c r="C274" s="33">
        <v>3</v>
      </c>
      <c r="D274" s="33">
        <v>4972.666666666667</v>
      </c>
      <c r="E274" s="35">
        <v>3.431957835552212</v>
      </c>
    </row>
    <row r="275" spans="1:5" x14ac:dyDescent="0.2">
      <c r="A275" s="29">
        <v>46142</v>
      </c>
      <c r="B275" s="29" t="s">
        <v>52</v>
      </c>
      <c r="C275" s="10">
        <v>1</v>
      </c>
      <c r="D275" s="10">
        <v>67650</v>
      </c>
      <c r="E275" s="11">
        <v>46.689626137908661</v>
      </c>
    </row>
    <row r="276" spans="1:5" x14ac:dyDescent="0.2">
      <c r="A276" s="31">
        <v>46142</v>
      </c>
      <c r="B276" s="31" t="s">
        <v>50</v>
      </c>
      <c r="C276" s="33">
        <v>3</v>
      </c>
      <c r="D276" s="33">
        <v>29340</v>
      </c>
      <c r="E276" s="35">
        <v>20.249425438081893</v>
      </c>
    </row>
    <row r="277" spans="1:5" x14ac:dyDescent="0.2">
      <c r="A277" s="29">
        <v>46142</v>
      </c>
      <c r="B277" s="29" t="s">
        <v>33</v>
      </c>
      <c r="C277" s="10">
        <v>33</v>
      </c>
      <c r="D277" s="10">
        <v>22450</v>
      </c>
      <c r="E277" s="11">
        <v>15.494192266016992</v>
      </c>
    </row>
    <row r="278" spans="1:5" x14ac:dyDescent="0.2">
      <c r="A278" s="31">
        <v>46142</v>
      </c>
      <c r="B278" s="31" t="s">
        <v>36</v>
      </c>
      <c r="C278" s="33">
        <v>42</v>
      </c>
      <c r="D278" s="33">
        <v>38360</v>
      </c>
      <c r="E278" s="35">
        <v>26.474708923136383</v>
      </c>
    </row>
    <row r="279" spans="1:5" x14ac:dyDescent="0.2">
      <c r="A279" s="29">
        <v>46142</v>
      </c>
      <c r="B279" s="29" t="s">
        <v>44</v>
      </c>
      <c r="C279" s="10">
        <v>3</v>
      </c>
      <c r="D279" s="10">
        <v>12500</v>
      </c>
      <c r="E279" s="11">
        <v>8.6270558274036695</v>
      </c>
    </row>
    <row r="280" spans="1:5" x14ac:dyDescent="0.2">
      <c r="A280" s="31">
        <v>46142</v>
      </c>
      <c r="B280" s="31" t="s">
        <v>38</v>
      </c>
      <c r="C280" s="33">
        <v>6000</v>
      </c>
      <c r="D280" s="33">
        <v>1553.5</v>
      </c>
      <c r="E280" s="35">
        <v>1.072170498229728</v>
      </c>
    </row>
    <row r="281" spans="1:5" x14ac:dyDescent="0.2">
      <c r="A281" s="29">
        <v>46142</v>
      </c>
      <c r="B281" s="29" t="s">
        <v>251</v>
      </c>
      <c r="C281" s="10">
        <v>685.30795599999999</v>
      </c>
      <c r="D281" s="10">
        <v>2074.1045212672243</v>
      </c>
      <c r="E281" s="11">
        <v>1.4314732397474166</v>
      </c>
    </row>
    <row r="282" spans="1:5" x14ac:dyDescent="0.2">
      <c r="A282" s="31">
        <v>46142</v>
      </c>
      <c r="B282" s="31" t="s">
        <v>250</v>
      </c>
      <c r="C282" s="33">
        <v>865.70117800000003</v>
      </c>
      <c r="D282" s="33">
        <v>1673.7068596203296</v>
      </c>
      <c r="E282" s="35">
        <v>1.1551330013322449</v>
      </c>
    </row>
    <row r="283" spans="1:5" x14ac:dyDescent="0.2">
      <c r="A283" s="29">
        <v>46146</v>
      </c>
      <c r="B283" s="29" t="s">
        <v>60</v>
      </c>
      <c r="C283" s="10">
        <v>2</v>
      </c>
      <c r="D283" s="10">
        <v>6075</v>
      </c>
      <c r="E283" s="11">
        <v>4.2321223309763489</v>
      </c>
    </row>
    <row r="284" spans="1:5" x14ac:dyDescent="0.2">
      <c r="A284" s="31">
        <v>46146</v>
      </c>
      <c r="B284" s="31" t="s">
        <v>55</v>
      </c>
      <c r="C284" s="33">
        <v>3</v>
      </c>
      <c r="D284" s="33">
        <v>4815</v>
      </c>
      <c r="E284" s="35">
        <v>3.3543488104775503</v>
      </c>
    </row>
    <row r="285" spans="1:5" x14ac:dyDescent="0.2">
      <c r="A285" s="29">
        <v>46146</v>
      </c>
      <c r="B285" s="29" t="s">
        <v>52</v>
      </c>
      <c r="C285" s="10">
        <v>1</v>
      </c>
      <c r="D285" s="10">
        <v>66475</v>
      </c>
      <c r="E285" s="11">
        <v>46.309519662823504</v>
      </c>
    </row>
    <row r="286" spans="1:5" x14ac:dyDescent="0.2">
      <c r="A286" s="31">
        <v>46146</v>
      </c>
      <c r="B286" s="31" t="s">
        <v>50</v>
      </c>
      <c r="C286" s="33">
        <v>3</v>
      </c>
      <c r="D286" s="33">
        <v>28600</v>
      </c>
      <c r="E286" s="35">
        <v>19.92406562402034</v>
      </c>
    </row>
    <row r="287" spans="1:5" x14ac:dyDescent="0.2">
      <c r="A287" s="29">
        <v>46146</v>
      </c>
      <c r="B287" s="29" t="s">
        <v>33</v>
      </c>
      <c r="C287" s="10">
        <v>33</v>
      </c>
      <c r="D287" s="10">
        <v>22690</v>
      </c>
      <c r="E287" s="11">
        <v>15.806889825490265</v>
      </c>
    </row>
    <row r="288" spans="1:5" x14ac:dyDescent="0.2">
      <c r="A288" s="31">
        <v>46146</v>
      </c>
      <c r="B288" s="31" t="s">
        <v>36</v>
      </c>
      <c r="C288" s="33">
        <v>42</v>
      </c>
      <c r="D288" s="33">
        <v>38140</v>
      </c>
      <c r="E288" s="35">
        <v>26.570065136368385</v>
      </c>
    </row>
    <row r="289" spans="1:5" x14ac:dyDescent="0.2">
      <c r="A289" s="29">
        <v>46146</v>
      </c>
      <c r="B289" s="29" t="s">
        <v>44</v>
      </c>
      <c r="C289" s="10">
        <v>3</v>
      </c>
      <c r="D289" s="10">
        <v>12380</v>
      </c>
      <c r="E289" s="11">
        <v>8.6244731617262875</v>
      </c>
    </row>
    <row r="290" spans="1:5" x14ac:dyDescent="0.2">
      <c r="A290" s="31">
        <v>46146</v>
      </c>
      <c r="B290" s="31" t="s">
        <v>38</v>
      </c>
      <c r="C290" s="33">
        <v>6000</v>
      </c>
      <c r="D290" s="33">
        <v>1534.5</v>
      </c>
      <c r="E290" s="35">
        <v>1.0690027517503222</v>
      </c>
    </row>
    <row r="291" spans="1:5" x14ac:dyDescent="0.2">
      <c r="A291" s="29">
        <v>46146</v>
      </c>
      <c r="B291" s="29" t="s">
        <v>251</v>
      </c>
      <c r="C291" s="10">
        <v>685.30795599999999</v>
      </c>
      <c r="D291" s="10">
        <v>2050.6190504521155</v>
      </c>
      <c r="E291" s="11">
        <v>1.4285548437438542</v>
      </c>
    </row>
    <row r="292" spans="1:5" x14ac:dyDescent="0.2">
      <c r="A292" s="31">
        <v>46146</v>
      </c>
      <c r="B292" s="31" t="s">
        <v>250</v>
      </c>
      <c r="C292" s="33">
        <v>865.70117800000003</v>
      </c>
      <c r="D292" s="33">
        <v>1658.1356667623709</v>
      </c>
      <c r="E292" s="35">
        <v>1.1551330013322447</v>
      </c>
    </row>
    <row r="293" spans="1:5" x14ac:dyDescent="0.2">
      <c r="A293" s="29">
        <v>46147</v>
      </c>
      <c r="B293" s="9" t="s">
        <v>60</v>
      </c>
      <c r="C293" s="10">
        <v>2</v>
      </c>
      <c r="D293" s="10">
        <v>6015</v>
      </c>
      <c r="E293" s="11">
        <v>4.2118899236748133</v>
      </c>
    </row>
    <row r="294" spans="1:5" x14ac:dyDescent="0.2">
      <c r="A294" s="31">
        <v>46147</v>
      </c>
      <c r="B294" s="32" t="s">
        <v>55</v>
      </c>
      <c r="C294" s="33">
        <v>3</v>
      </c>
      <c r="D294" s="33">
        <v>4702.666666666667</v>
      </c>
      <c r="E294" s="35">
        <v>3.292953341269286</v>
      </c>
    </row>
    <row r="295" spans="1:5" x14ac:dyDescent="0.2">
      <c r="A295" s="29">
        <v>46147</v>
      </c>
      <c r="B295" s="9" t="s">
        <v>52</v>
      </c>
      <c r="C295" s="10">
        <v>1</v>
      </c>
      <c r="D295" s="10">
        <v>65225</v>
      </c>
      <c r="E295" s="11">
        <v>45.672571948743091</v>
      </c>
    </row>
    <row r="296" spans="1:5" x14ac:dyDescent="0.2">
      <c r="A296" s="31">
        <v>46147</v>
      </c>
      <c r="B296" s="32" t="s">
        <v>50</v>
      </c>
      <c r="C296" s="33">
        <v>3</v>
      </c>
      <c r="D296" s="33">
        <v>28760</v>
      </c>
      <c r="E296" s="35">
        <v>20.138645753098523</v>
      </c>
    </row>
    <row r="297" spans="1:5" x14ac:dyDescent="0.2">
      <c r="A297" s="29">
        <v>46147</v>
      </c>
      <c r="B297" s="9" t="s">
        <v>33</v>
      </c>
      <c r="C297" s="10">
        <v>33</v>
      </c>
      <c r="D297" s="10">
        <v>22500</v>
      </c>
      <c r="E297" s="11">
        <v>15.755199215741195</v>
      </c>
    </row>
    <row r="298" spans="1:5" x14ac:dyDescent="0.2">
      <c r="A298" s="31">
        <v>46147</v>
      </c>
      <c r="B298" s="32" t="s">
        <v>36</v>
      </c>
      <c r="C298" s="33">
        <v>42</v>
      </c>
      <c r="D298" s="33">
        <v>37540</v>
      </c>
      <c r="E298" s="35">
        <v>26.286674602618866</v>
      </c>
    </row>
    <row r="299" spans="1:5" x14ac:dyDescent="0.2">
      <c r="A299" s="29">
        <v>46147</v>
      </c>
      <c r="B299" s="9" t="s">
        <v>44</v>
      </c>
      <c r="C299" s="10">
        <v>3</v>
      </c>
      <c r="D299" s="10">
        <v>12180</v>
      </c>
      <c r="E299" s="11">
        <v>8.5288145087879013</v>
      </c>
    </row>
    <row r="300" spans="1:5" x14ac:dyDescent="0.2">
      <c r="A300" s="31">
        <v>46147</v>
      </c>
      <c r="B300" s="32" t="s">
        <v>38</v>
      </c>
      <c r="C300" s="33">
        <v>6000</v>
      </c>
      <c r="D300" s="33">
        <v>1559.9</v>
      </c>
      <c r="E300" s="35">
        <v>1.0922904558504307</v>
      </c>
    </row>
    <row r="301" spans="1:5" x14ac:dyDescent="0.2">
      <c r="A301" s="29">
        <v>46147</v>
      </c>
      <c r="B301" s="9" t="s">
        <v>251</v>
      </c>
      <c r="C301" s="10">
        <v>685.30795599999999</v>
      </c>
      <c r="D301" s="10">
        <v>2042.2030530169418</v>
      </c>
      <c r="E301" s="11">
        <v>1.4300140417456355</v>
      </c>
    </row>
    <row r="302" spans="1:5" x14ac:dyDescent="0.2">
      <c r="A302" s="31">
        <v>46147</v>
      </c>
      <c r="B302" s="32" t="s">
        <v>250</v>
      </c>
      <c r="C302" s="33">
        <v>865.70117800000003</v>
      </c>
      <c r="D302" s="33">
        <v>1649.6454392025789</v>
      </c>
      <c r="E302" s="35">
        <v>1.1551330013322449</v>
      </c>
    </row>
    <row r="303" spans="1:5" x14ac:dyDescent="0.2">
      <c r="A303" s="29">
        <v>46148</v>
      </c>
      <c r="B303" s="9" t="s">
        <v>60</v>
      </c>
      <c r="C303" s="10">
        <v>2</v>
      </c>
      <c r="D303" s="10">
        <v>6380</v>
      </c>
      <c r="E303" s="11">
        <v>4.4740219213048995</v>
      </c>
    </row>
    <row r="304" spans="1:5" x14ac:dyDescent="0.2">
      <c r="A304" s="31">
        <v>46148</v>
      </c>
      <c r="B304" s="32" t="s">
        <v>55</v>
      </c>
      <c r="C304" s="33">
        <v>3</v>
      </c>
      <c r="D304" s="33">
        <v>4925</v>
      </c>
      <c r="E304" s="35">
        <v>3.4536924705997856</v>
      </c>
    </row>
    <row r="305" spans="1:5" x14ac:dyDescent="0.2">
      <c r="A305" s="29">
        <v>46148</v>
      </c>
      <c r="B305" s="9" t="s">
        <v>52</v>
      </c>
      <c r="C305" s="10">
        <v>1</v>
      </c>
      <c r="D305" s="10">
        <v>64200</v>
      </c>
      <c r="E305" s="11">
        <v>45.020722154823602</v>
      </c>
    </row>
    <row r="306" spans="1:5" x14ac:dyDescent="0.2">
      <c r="A306" s="31">
        <v>46148</v>
      </c>
      <c r="B306" s="32" t="s">
        <v>50</v>
      </c>
      <c r="C306" s="33">
        <v>3</v>
      </c>
      <c r="D306" s="33">
        <v>30740</v>
      </c>
      <c r="E306" s="35">
        <v>21.556651075378152</v>
      </c>
    </row>
    <row r="307" spans="1:5" x14ac:dyDescent="0.2">
      <c r="A307" s="29">
        <v>46148</v>
      </c>
      <c r="B307" s="9" t="s">
        <v>33</v>
      </c>
      <c r="C307" s="10">
        <v>33</v>
      </c>
      <c r="D307" s="10">
        <v>22760</v>
      </c>
      <c r="E307" s="11">
        <v>15.960617386974846</v>
      </c>
    </row>
    <row r="308" spans="1:5" x14ac:dyDescent="0.2">
      <c r="A308" s="31">
        <v>46148</v>
      </c>
      <c r="B308" s="32" t="s">
        <v>36</v>
      </c>
      <c r="C308" s="33">
        <v>42</v>
      </c>
      <c r="D308" s="33">
        <v>37860</v>
      </c>
      <c r="E308" s="35">
        <v>26.549603438966066</v>
      </c>
    </row>
    <row r="309" spans="1:5" x14ac:dyDescent="0.2">
      <c r="A309" s="29">
        <v>46148</v>
      </c>
      <c r="B309" s="9" t="s">
        <v>44</v>
      </c>
      <c r="C309" s="10">
        <v>3</v>
      </c>
      <c r="D309" s="10">
        <v>12830</v>
      </c>
      <c r="E309" s="11">
        <v>8.9971318574203547</v>
      </c>
    </row>
    <row r="310" spans="1:5" x14ac:dyDescent="0.2">
      <c r="A310" s="31">
        <v>46148</v>
      </c>
      <c r="B310" s="32" t="s">
        <v>38</v>
      </c>
      <c r="C310" s="33">
        <v>6000</v>
      </c>
      <c r="D310" s="33">
        <v>1540</v>
      </c>
      <c r="E310" s="35">
        <v>1.0799363258322172</v>
      </c>
    </row>
    <row r="311" spans="1:5" x14ac:dyDescent="0.2">
      <c r="A311" s="29">
        <v>46149</v>
      </c>
      <c r="B311" s="9" t="s">
        <v>60</v>
      </c>
      <c r="C311" s="10">
        <v>2</v>
      </c>
      <c r="D311" s="10">
        <v>6340</v>
      </c>
      <c r="E311" s="11">
        <v>4.4345277647601922</v>
      </c>
    </row>
    <row r="312" spans="1:5" x14ac:dyDescent="0.2">
      <c r="A312" s="31">
        <v>46149</v>
      </c>
      <c r="B312" s="32" t="s">
        <v>55</v>
      </c>
      <c r="C312" s="33">
        <v>3</v>
      </c>
      <c r="D312" s="33">
        <v>4867.666666666667</v>
      </c>
      <c r="E312" s="35">
        <v>3.4047007859512668</v>
      </c>
    </row>
    <row r="313" spans="1:5" x14ac:dyDescent="0.2">
      <c r="A313" s="29">
        <v>46149</v>
      </c>
      <c r="B313" s="9" t="s">
        <v>52</v>
      </c>
      <c r="C313" s="10">
        <v>1</v>
      </c>
      <c r="D313" s="10">
        <v>63575</v>
      </c>
      <c r="E313" s="11">
        <v>44.467681805146569</v>
      </c>
    </row>
    <row r="314" spans="1:5" x14ac:dyDescent="0.2">
      <c r="A314" s="31">
        <v>46149</v>
      </c>
      <c r="B314" s="32" t="s">
        <v>50</v>
      </c>
      <c r="C314" s="33">
        <v>3</v>
      </c>
      <c r="D314" s="33">
        <v>31100</v>
      </c>
      <c r="E314" s="35">
        <v>21.752967426505045</v>
      </c>
    </row>
    <row r="315" spans="1:5" x14ac:dyDescent="0.2">
      <c r="A315" s="29">
        <v>46149</v>
      </c>
      <c r="B315" s="9" t="s">
        <v>33</v>
      </c>
      <c r="C315" s="10">
        <v>33</v>
      </c>
      <c r="D315" s="10">
        <v>23090</v>
      </c>
      <c r="E315" s="11">
        <v>16.150354272604549</v>
      </c>
    </row>
    <row r="316" spans="1:5" x14ac:dyDescent="0.2">
      <c r="A316" s="31">
        <v>46149</v>
      </c>
      <c r="B316" s="32" t="s">
        <v>36</v>
      </c>
      <c r="C316" s="33">
        <v>42</v>
      </c>
      <c r="D316" s="33">
        <v>38180</v>
      </c>
      <c r="E316" s="35">
        <v>26.705089914596869</v>
      </c>
    </row>
    <row r="317" spans="1:5" x14ac:dyDescent="0.2">
      <c r="A317" s="29">
        <v>46149</v>
      </c>
      <c r="B317" s="9" t="s">
        <v>44</v>
      </c>
      <c r="C317" s="10">
        <v>3</v>
      </c>
      <c r="D317" s="10">
        <v>13120</v>
      </c>
      <c r="E317" s="11">
        <v>9.1768145542040571</v>
      </c>
    </row>
    <row r="318" spans="1:5" x14ac:dyDescent="0.2">
      <c r="A318" s="31">
        <v>46149</v>
      </c>
      <c r="B318" s="32" t="s">
        <v>227</v>
      </c>
      <c r="C318" s="33">
        <v>2000</v>
      </c>
      <c r="D318" s="33">
        <v>1429.69</v>
      </c>
      <c r="E318" s="35">
        <v>1</v>
      </c>
    </row>
    <row r="319" spans="1:5" x14ac:dyDescent="0.2">
      <c r="A319" s="29">
        <v>46149</v>
      </c>
      <c r="B319" s="9" t="s">
        <v>38</v>
      </c>
      <c r="C319" s="10">
        <v>6000</v>
      </c>
      <c r="D319" s="10">
        <v>1533</v>
      </c>
      <c r="E319" s="11">
        <v>1.0722604200910686</v>
      </c>
    </row>
    <row r="320" spans="1:5" ht="15" x14ac:dyDescent="0.25">
      <c r="A320"/>
      <c r="B320"/>
      <c r="C320"/>
      <c r="D320"/>
      <c r="E320"/>
    </row>
    <row r="321" spans="1:5" ht="15" x14ac:dyDescent="0.25">
      <c r="A321"/>
      <c r="B321"/>
      <c r="C321"/>
      <c r="D321"/>
      <c r="E321"/>
    </row>
    <row r="322" spans="1:5" ht="15" x14ac:dyDescent="0.25">
      <c r="A322"/>
      <c r="B322"/>
      <c r="C322"/>
      <c r="D322"/>
      <c r="E322"/>
    </row>
    <row r="323" spans="1:5" ht="15" x14ac:dyDescent="0.25">
      <c r="A323"/>
      <c r="B323"/>
      <c r="C323"/>
      <c r="D323"/>
      <c r="E323"/>
    </row>
    <row r="324" spans="1:5" ht="15" x14ac:dyDescent="0.25">
      <c r="A324"/>
      <c r="B324"/>
      <c r="C324"/>
      <c r="D324"/>
      <c r="E324"/>
    </row>
    <row r="325" spans="1:5" ht="15" x14ac:dyDescent="0.25">
      <c r="A325"/>
      <c r="B325"/>
      <c r="C325"/>
      <c r="D325"/>
      <c r="E325"/>
    </row>
    <row r="326" spans="1:5" ht="15" x14ac:dyDescent="0.25">
      <c r="A326"/>
      <c r="B326"/>
      <c r="C326"/>
      <c r="D326"/>
      <c r="E326"/>
    </row>
    <row r="327" spans="1:5" ht="15" x14ac:dyDescent="0.25">
      <c r="A327"/>
      <c r="B327"/>
      <c r="C327"/>
      <c r="D327"/>
      <c r="E327"/>
    </row>
    <row r="328" spans="1:5" ht="15" x14ac:dyDescent="0.25">
      <c r="A328"/>
      <c r="B328"/>
      <c r="C328"/>
      <c r="D328"/>
      <c r="E328"/>
    </row>
    <row r="329" spans="1:5" ht="15" x14ac:dyDescent="0.25">
      <c r="A329"/>
      <c r="B329"/>
      <c r="C329"/>
      <c r="D329"/>
      <c r="E329"/>
    </row>
    <row r="330" spans="1:5" ht="15" x14ac:dyDescent="0.25">
      <c r="A330"/>
      <c r="B330"/>
      <c r="C330"/>
      <c r="D330"/>
      <c r="E330"/>
    </row>
    <row r="331" spans="1:5" ht="15" x14ac:dyDescent="0.25">
      <c r="A331"/>
      <c r="B331"/>
      <c r="C331"/>
      <c r="D331"/>
      <c r="E331"/>
    </row>
    <row r="332" spans="1:5" ht="15" x14ac:dyDescent="0.25">
      <c r="A332"/>
      <c r="B332"/>
      <c r="C332"/>
      <c r="D332"/>
      <c r="E332"/>
    </row>
    <row r="333" spans="1:5" ht="15" x14ac:dyDescent="0.25">
      <c r="A333"/>
      <c r="B333"/>
      <c r="C333"/>
      <c r="D333"/>
      <c r="E333"/>
    </row>
    <row r="334" spans="1:5" ht="15" x14ac:dyDescent="0.25">
      <c r="A334"/>
      <c r="B334"/>
      <c r="C334"/>
      <c r="D334"/>
      <c r="E334"/>
    </row>
    <row r="335" spans="1:5" ht="15" x14ac:dyDescent="0.25">
      <c r="A335"/>
      <c r="B335"/>
      <c r="C335"/>
      <c r="D335"/>
      <c r="E335"/>
    </row>
    <row r="336" spans="1:5" ht="15" x14ac:dyDescent="0.25">
      <c r="A336"/>
      <c r="B336"/>
      <c r="C336"/>
      <c r="D336"/>
      <c r="E336"/>
    </row>
    <row r="337" spans="1:5" ht="15" x14ac:dyDescent="0.25">
      <c r="A337"/>
      <c r="B337"/>
      <c r="C337"/>
      <c r="D337"/>
      <c r="E337"/>
    </row>
    <row r="338" spans="1:5" ht="15" x14ac:dyDescent="0.25">
      <c r="A338"/>
      <c r="B338"/>
      <c r="C338"/>
      <c r="D338"/>
      <c r="E338"/>
    </row>
    <row r="339" spans="1:5" ht="15" x14ac:dyDescent="0.25">
      <c r="A339"/>
      <c r="B339"/>
      <c r="C339"/>
      <c r="D339"/>
      <c r="E339"/>
    </row>
    <row r="340" spans="1:5" ht="15" x14ac:dyDescent="0.25">
      <c r="A340"/>
      <c r="B340"/>
      <c r="C340"/>
      <c r="D340"/>
      <c r="E340"/>
    </row>
    <row r="341" spans="1:5" ht="15" x14ac:dyDescent="0.25">
      <c r="A341"/>
      <c r="B341"/>
      <c r="C341"/>
      <c r="D341"/>
      <c r="E341"/>
    </row>
    <row r="342" spans="1:5" ht="15" x14ac:dyDescent="0.25">
      <c r="A342"/>
      <c r="B342"/>
      <c r="C342"/>
      <c r="D342"/>
      <c r="E342"/>
    </row>
    <row r="343" spans="1:5" ht="15" x14ac:dyDescent="0.25">
      <c r="A343"/>
      <c r="B343"/>
      <c r="C343"/>
      <c r="D343"/>
      <c r="E343"/>
    </row>
    <row r="344" spans="1:5" ht="15" x14ac:dyDescent="0.25">
      <c r="A344"/>
      <c r="B344"/>
      <c r="C344"/>
      <c r="D344"/>
      <c r="E344"/>
    </row>
    <row r="345" spans="1:5" ht="15" x14ac:dyDescent="0.25">
      <c r="A345"/>
      <c r="B345"/>
      <c r="C345"/>
      <c r="D345"/>
      <c r="E345"/>
    </row>
    <row r="346" spans="1:5" ht="15" x14ac:dyDescent="0.25">
      <c r="A346"/>
      <c r="B346"/>
      <c r="C346"/>
      <c r="D346"/>
      <c r="E346"/>
    </row>
    <row r="347" spans="1:5" ht="15" x14ac:dyDescent="0.25">
      <c r="A347"/>
      <c r="B347"/>
      <c r="C347"/>
      <c r="D347"/>
      <c r="E347"/>
    </row>
    <row r="348" spans="1:5" ht="15" x14ac:dyDescent="0.25">
      <c r="A348"/>
      <c r="B348"/>
      <c r="C348"/>
      <c r="D348"/>
      <c r="E348"/>
    </row>
    <row r="349" spans="1:5" ht="15" x14ac:dyDescent="0.25">
      <c r="A349"/>
      <c r="B349"/>
      <c r="C349"/>
      <c r="D349"/>
      <c r="E349"/>
    </row>
    <row r="350" spans="1:5" ht="15" x14ac:dyDescent="0.25">
      <c r="A350"/>
      <c r="B350"/>
      <c r="C350"/>
      <c r="D350"/>
      <c r="E350"/>
    </row>
    <row r="351" spans="1:5" ht="15" x14ac:dyDescent="0.25">
      <c r="A351"/>
      <c r="B351"/>
      <c r="C351"/>
      <c r="D351"/>
      <c r="E351"/>
    </row>
    <row r="352" spans="1:5" ht="15" x14ac:dyDescent="0.25">
      <c r="A352"/>
      <c r="B352"/>
      <c r="C352"/>
      <c r="D352"/>
      <c r="E352"/>
    </row>
    <row r="353" spans="1:5" ht="15" x14ac:dyDescent="0.25">
      <c r="A353"/>
      <c r="B353"/>
      <c r="C353"/>
      <c r="D353"/>
      <c r="E353"/>
    </row>
    <row r="354" spans="1:5" ht="15" x14ac:dyDescent="0.25">
      <c r="A354"/>
      <c r="B354"/>
      <c r="C354"/>
      <c r="D354"/>
      <c r="E354"/>
    </row>
    <row r="355" spans="1:5" ht="15" x14ac:dyDescent="0.25">
      <c r="A355"/>
      <c r="B355"/>
      <c r="C355"/>
      <c r="D355"/>
      <c r="E355"/>
    </row>
    <row r="356" spans="1:5" ht="15" x14ac:dyDescent="0.25">
      <c r="A356"/>
      <c r="B356"/>
      <c r="C356"/>
      <c r="D356"/>
      <c r="E356"/>
    </row>
    <row r="357" spans="1:5" ht="15" x14ac:dyDescent="0.25">
      <c r="A357"/>
      <c r="B357"/>
      <c r="C357"/>
      <c r="D357"/>
      <c r="E357"/>
    </row>
    <row r="358" spans="1:5" ht="15" x14ac:dyDescent="0.25">
      <c r="A358"/>
      <c r="B358"/>
      <c r="C358"/>
      <c r="D358"/>
      <c r="E358"/>
    </row>
    <row r="359" spans="1:5" ht="15" x14ac:dyDescent="0.25">
      <c r="A359"/>
      <c r="B359"/>
      <c r="C359"/>
      <c r="D359"/>
      <c r="E359"/>
    </row>
  </sheetData>
  <sortState xmlns:xlrd2="http://schemas.microsoft.com/office/spreadsheetml/2017/richdata2" ref="A3:E319">
    <sortCondition ref="A3:A319"/>
  </sortState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3EC9-0DDC-4AA9-B98F-35137AEFEA63}">
  <sheetPr codeName="Hoja11">
    <tabColor rgb="FFDCE2EB"/>
  </sheetPr>
  <dimension ref="A1:D429"/>
  <sheetViews>
    <sheetView showGridLines="0" zoomScaleNormal="100" workbookViewId="0">
      <pane ySplit="2" topLeftCell="A3" activePane="bottomLeft" state="frozen"/>
      <selection sqref="A1:E1"/>
      <selection pane="bottomLeft" activeCell="A3" sqref="A3"/>
    </sheetView>
  </sheetViews>
  <sheetFormatPr defaultColWidth="8.7109375" defaultRowHeight="12" x14ac:dyDescent="0.2"/>
  <cols>
    <col min="1" max="1" width="11.5703125" style="42" bestFit="1" customWidth="1"/>
    <col min="2" max="2" width="10.5703125" style="15" bestFit="1" customWidth="1"/>
    <col min="3" max="3" width="8.85546875" style="15" bestFit="1" customWidth="1"/>
    <col min="4" max="4" width="9.42578125" style="15" bestFit="1" customWidth="1"/>
    <col min="5" max="16384" width="8.7109375" style="15"/>
  </cols>
  <sheetData>
    <row r="1" spans="1:4" ht="24" customHeight="1" x14ac:dyDescent="0.2">
      <c r="A1" s="104" t="s">
        <v>199</v>
      </c>
      <c r="B1" s="104"/>
      <c r="C1" s="104"/>
      <c r="D1" s="104"/>
    </row>
    <row r="2" spans="1:4" ht="27.95" customHeight="1" x14ac:dyDescent="0.2">
      <c r="A2" s="18" t="s">
        <v>21</v>
      </c>
      <c r="B2" s="18" t="s">
        <v>18</v>
      </c>
      <c r="C2" s="18" t="s">
        <v>19</v>
      </c>
      <c r="D2" s="18" t="s">
        <v>204</v>
      </c>
    </row>
    <row r="3" spans="1:4" x14ac:dyDescent="0.2">
      <c r="A3" s="29">
        <v>45870</v>
      </c>
      <c r="B3" s="11">
        <v>1375</v>
      </c>
      <c r="C3" s="11">
        <v>1365.68</v>
      </c>
      <c r="D3" s="11">
        <v>1360.17</v>
      </c>
    </row>
    <row r="4" spans="1:4" x14ac:dyDescent="0.2">
      <c r="A4" s="31">
        <v>45874</v>
      </c>
      <c r="B4" s="35">
        <v>1350</v>
      </c>
      <c r="C4" s="35">
        <v>1343.71</v>
      </c>
      <c r="D4" s="35">
        <v>1346.17</v>
      </c>
    </row>
    <row r="5" spans="1:4" x14ac:dyDescent="0.2">
      <c r="A5" s="29">
        <v>45877</v>
      </c>
      <c r="B5" s="11">
        <v>1335</v>
      </c>
      <c r="C5" s="11">
        <v>1327.48</v>
      </c>
      <c r="D5" s="11">
        <v>1329.9</v>
      </c>
    </row>
    <row r="6" spans="1:4" x14ac:dyDescent="0.2">
      <c r="A6" s="31">
        <v>45881</v>
      </c>
      <c r="B6" s="35">
        <v>1330</v>
      </c>
      <c r="C6" s="35">
        <v>1322.42</v>
      </c>
      <c r="D6" s="35">
        <v>1320.03</v>
      </c>
    </row>
    <row r="7" spans="1:4" x14ac:dyDescent="0.2">
      <c r="A7" s="29">
        <v>45882</v>
      </c>
      <c r="B7" s="11">
        <v>1325</v>
      </c>
      <c r="C7" s="11">
        <v>1318.17</v>
      </c>
      <c r="D7" s="11">
        <v>1323.8</v>
      </c>
    </row>
    <row r="8" spans="1:4" x14ac:dyDescent="0.2">
      <c r="A8" s="31">
        <v>45887</v>
      </c>
      <c r="B8" s="35">
        <v>1315</v>
      </c>
      <c r="C8" s="35">
        <v>1303.43</v>
      </c>
      <c r="D8" s="35">
        <v>1306.3499999999999</v>
      </c>
    </row>
    <row r="9" spans="1:4" x14ac:dyDescent="0.2">
      <c r="A9" s="29">
        <v>45897</v>
      </c>
      <c r="B9" s="11">
        <v>1345</v>
      </c>
      <c r="C9" s="11">
        <v>1345.93</v>
      </c>
      <c r="D9" s="11">
        <v>1344.56</v>
      </c>
    </row>
    <row r="10" spans="1:4" x14ac:dyDescent="0.2">
      <c r="A10" s="31">
        <v>45898</v>
      </c>
      <c r="B10" s="35">
        <v>1360</v>
      </c>
      <c r="C10" s="35">
        <v>1349.52</v>
      </c>
      <c r="D10" s="35">
        <v>1351.58</v>
      </c>
    </row>
    <row r="11" spans="1:4" x14ac:dyDescent="0.2">
      <c r="A11" s="29">
        <v>45930</v>
      </c>
      <c r="B11" s="11">
        <v>1400</v>
      </c>
      <c r="C11" s="11">
        <v>1489.18</v>
      </c>
      <c r="D11" s="11">
        <v>1522.44</v>
      </c>
    </row>
    <row r="12" spans="1:4" x14ac:dyDescent="0.2">
      <c r="A12" s="31">
        <v>45961</v>
      </c>
      <c r="B12" s="35">
        <v>1475</v>
      </c>
      <c r="C12" s="35">
        <v>1474.92</v>
      </c>
      <c r="D12" s="35">
        <v>1492.47</v>
      </c>
    </row>
    <row r="13" spans="1:4" x14ac:dyDescent="0.2">
      <c r="A13" s="29">
        <v>45989</v>
      </c>
      <c r="B13" s="11">
        <v>1475</v>
      </c>
      <c r="C13" s="11">
        <v>1476.4</v>
      </c>
      <c r="D13" s="11">
        <v>1515.44</v>
      </c>
    </row>
    <row r="14" spans="1:4" x14ac:dyDescent="0.2">
      <c r="A14" s="31">
        <v>46021</v>
      </c>
      <c r="B14" s="35">
        <v>1480</v>
      </c>
      <c r="C14" s="35">
        <v>1480.46</v>
      </c>
      <c r="D14" s="35">
        <v>1520.07</v>
      </c>
    </row>
    <row r="15" spans="1:4" x14ac:dyDescent="0.2">
      <c r="A15" s="29">
        <v>46041</v>
      </c>
      <c r="B15" s="11">
        <v>1460</v>
      </c>
      <c r="C15" s="11">
        <v>1463.85</v>
      </c>
      <c r="D15" s="11">
        <v>1505.2</v>
      </c>
    </row>
    <row r="16" spans="1:4" x14ac:dyDescent="0.2">
      <c r="A16" s="31">
        <v>46043</v>
      </c>
      <c r="B16" s="35">
        <v>1455</v>
      </c>
      <c r="C16" s="35">
        <v>1462.01</v>
      </c>
      <c r="D16" s="35">
        <v>1509.04</v>
      </c>
    </row>
    <row r="17" spans="1:4" x14ac:dyDescent="0.2">
      <c r="A17" s="29">
        <v>46052</v>
      </c>
      <c r="B17" s="11">
        <v>1465</v>
      </c>
      <c r="C17" s="11">
        <v>1464.75</v>
      </c>
      <c r="D17" s="11">
        <v>1491.15</v>
      </c>
    </row>
    <row r="18" spans="1:4" x14ac:dyDescent="0.2">
      <c r="A18" s="31">
        <v>46080</v>
      </c>
      <c r="B18" s="35">
        <v>1420</v>
      </c>
      <c r="C18" s="35">
        <v>1436.64</v>
      </c>
      <c r="D18" s="35">
        <v>1476.11</v>
      </c>
    </row>
    <row r="19" spans="1:4" x14ac:dyDescent="0.2">
      <c r="A19" s="29">
        <v>46111</v>
      </c>
      <c r="B19" s="11">
        <v>1420</v>
      </c>
      <c r="C19" s="11">
        <v>1434</v>
      </c>
      <c r="D19" s="11">
        <v>1482.49</v>
      </c>
    </row>
    <row r="20" spans="1:4" x14ac:dyDescent="0.2">
      <c r="A20" s="31">
        <v>46112</v>
      </c>
      <c r="B20" s="35">
        <v>1405</v>
      </c>
      <c r="C20" s="35">
        <v>1422.12</v>
      </c>
      <c r="D20" s="35">
        <v>1474.47</v>
      </c>
    </row>
    <row r="21" spans="1:4" x14ac:dyDescent="0.2">
      <c r="A21" s="29">
        <v>46113</v>
      </c>
      <c r="B21" s="11">
        <v>1415</v>
      </c>
      <c r="C21" s="11">
        <v>1434.29</v>
      </c>
      <c r="D21" s="11">
        <v>1486.58</v>
      </c>
    </row>
    <row r="22" spans="1:4" x14ac:dyDescent="0.2">
      <c r="A22" s="31">
        <v>46118</v>
      </c>
      <c r="B22" s="35">
        <v>1415</v>
      </c>
      <c r="C22" s="35">
        <v>1426.37</v>
      </c>
      <c r="D22" s="35">
        <v>1480.08</v>
      </c>
    </row>
    <row r="23" spans="1:4" x14ac:dyDescent="0.2">
      <c r="A23" s="29">
        <v>46119</v>
      </c>
      <c r="B23" s="11">
        <v>1415</v>
      </c>
      <c r="C23" s="11">
        <v>1433.23</v>
      </c>
      <c r="D23" s="11">
        <v>1494.2</v>
      </c>
    </row>
    <row r="24" spans="1:4" x14ac:dyDescent="0.2">
      <c r="A24" s="31">
        <v>46120</v>
      </c>
      <c r="B24" s="35">
        <v>1410</v>
      </c>
      <c r="C24" s="35">
        <v>1421.17</v>
      </c>
      <c r="D24" s="35">
        <v>1475.6</v>
      </c>
    </row>
    <row r="25" spans="1:4" x14ac:dyDescent="0.2">
      <c r="A25" s="29">
        <v>46121</v>
      </c>
      <c r="B25" s="11">
        <v>1405</v>
      </c>
      <c r="C25" s="11">
        <v>1417.33</v>
      </c>
      <c r="D25" s="11">
        <v>1473.55</v>
      </c>
    </row>
    <row r="26" spans="1:4" x14ac:dyDescent="0.2">
      <c r="A26" s="31">
        <v>46122</v>
      </c>
      <c r="B26" s="35">
        <v>1395</v>
      </c>
      <c r="C26" s="35">
        <v>1414.22</v>
      </c>
      <c r="D26" s="35">
        <v>1473.27</v>
      </c>
    </row>
    <row r="27" spans="1:4" x14ac:dyDescent="0.2">
      <c r="A27" s="29">
        <v>46125</v>
      </c>
      <c r="B27" s="11">
        <v>1385</v>
      </c>
      <c r="C27" s="11">
        <v>1403.13</v>
      </c>
      <c r="D27" s="11">
        <v>1466.12</v>
      </c>
    </row>
    <row r="28" spans="1:4" x14ac:dyDescent="0.2">
      <c r="A28" s="31">
        <v>46126</v>
      </c>
      <c r="B28" s="35">
        <v>1385</v>
      </c>
      <c r="C28" s="35">
        <v>1410.63</v>
      </c>
      <c r="D28" s="35">
        <v>1472.83</v>
      </c>
    </row>
    <row r="29" spans="1:4" x14ac:dyDescent="0.2">
      <c r="A29" s="29">
        <v>46127</v>
      </c>
      <c r="B29" s="11">
        <v>1385</v>
      </c>
      <c r="C29" s="11">
        <v>1399.31</v>
      </c>
      <c r="D29" s="11">
        <v>1450.33</v>
      </c>
    </row>
    <row r="30" spans="1:4" x14ac:dyDescent="0.2">
      <c r="A30" s="31">
        <v>46128</v>
      </c>
      <c r="B30" s="35">
        <v>1380</v>
      </c>
      <c r="C30" s="35">
        <v>1404.47</v>
      </c>
      <c r="D30" s="35">
        <v>1451.17</v>
      </c>
    </row>
    <row r="31" spans="1:4" x14ac:dyDescent="0.2">
      <c r="A31" s="29">
        <v>46129</v>
      </c>
      <c r="B31" s="11">
        <v>1390</v>
      </c>
      <c r="C31" s="11">
        <v>1413.12</v>
      </c>
      <c r="D31" s="11">
        <v>1462.57</v>
      </c>
    </row>
    <row r="32" spans="1:4" x14ac:dyDescent="0.2">
      <c r="A32" s="31">
        <v>46132</v>
      </c>
      <c r="B32" s="35">
        <v>1400</v>
      </c>
      <c r="C32" s="35">
        <v>1412.79</v>
      </c>
      <c r="D32" s="35">
        <v>1461.44</v>
      </c>
    </row>
    <row r="33" spans="1:4" x14ac:dyDescent="0.2">
      <c r="A33" s="29">
        <v>46133</v>
      </c>
      <c r="B33" s="11">
        <v>1400</v>
      </c>
      <c r="C33" s="11">
        <v>1409.77</v>
      </c>
      <c r="D33" s="11">
        <v>1461.51</v>
      </c>
    </row>
    <row r="34" spans="1:4" x14ac:dyDescent="0.2">
      <c r="A34" s="31">
        <v>46134</v>
      </c>
      <c r="B34" s="35">
        <v>1400</v>
      </c>
      <c r="C34" s="35">
        <v>1419.25</v>
      </c>
      <c r="D34" s="35">
        <v>1471.87</v>
      </c>
    </row>
    <row r="35" spans="1:4" x14ac:dyDescent="0.2">
      <c r="A35" s="29">
        <v>46135</v>
      </c>
      <c r="B35" s="11">
        <v>1415</v>
      </c>
      <c r="C35" s="11">
        <v>1419.56</v>
      </c>
      <c r="D35" s="11">
        <v>1474.2</v>
      </c>
    </row>
    <row r="36" spans="1:4" x14ac:dyDescent="0.2">
      <c r="A36" s="31">
        <v>46136</v>
      </c>
      <c r="B36" s="35">
        <v>1420</v>
      </c>
      <c r="C36" s="35">
        <v>1438.04</v>
      </c>
      <c r="D36" s="35">
        <v>1493.44</v>
      </c>
    </row>
    <row r="37" spans="1:4" x14ac:dyDescent="0.2">
      <c r="A37" s="29">
        <v>46139</v>
      </c>
      <c r="B37" s="11">
        <v>1440</v>
      </c>
      <c r="C37" s="11">
        <v>1459.46</v>
      </c>
      <c r="D37" s="11">
        <v>1517.36</v>
      </c>
    </row>
    <row r="38" spans="1:4" x14ac:dyDescent="0.2">
      <c r="A38" s="31">
        <v>46140</v>
      </c>
      <c r="B38" s="35">
        <v>1430</v>
      </c>
      <c r="C38" s="35">
        <v>1437.83</v>
      </c>
      <c r="D38" s="35">
        <v>1494.16</v>
      </c>
    </row>
    <row r="39" spans="1:4" x14ac:dyDescent="0.2">
      <c r="A39" s="29">
        <v>46141</v>
      </c>
      <c r="B39" s="11">
        <v>1415</v>
      </c>
      <c r="C39" s="11">
        <v>1433.04</v>
      </c>
      <c r="D39" s="11">
        <v>1486.41</v>
      </c>
    </row>
    <row r="40" spans="1:4" x14ac:dyDescent="0.2">
      <c r="A40" s="31">
        <v>46142</v>
      </c>
      <c r="B40" s="35">
        <v>1415</v>
      </c>
      <c r="C40" s="35">
        <v>1448.93</v>
      </c>
      <c r="D40" s="35">
        <v>1503.03</v>
      </c>
    </row>
    <row r="41" spans="1:4" x14ac:dyDescent="0.2">
      <c r="A41" s="29">
        <v>46146</v>
      </c>
      <c r="B41" s="11">
        <v>1425</v>
      </c>
      <c r="C41" s="11">
        <v>1435.45</v>
      </c>
      <c r="D41" s="11">
        <v>1491.5</v>
      </c>
    </row>
    <row r="42" spans="1:4" x14ac:dyDescent="0.2">
      <c r="A42" s="31">
        <v>46147</v>
      </c>
      <c r="B42" s="35">
        <v>1415</v>
      </c>
      <c r="C42" s="35">
        <v>1428.1</v>
      </c>
      <c r="D42" s="35">
        <v>1484.32</v>
      </c>
    </row>
    <row r="43" spans="1:4" x14ac:dyDescent="0.2">
      <c r="A43" s="29">
        <v>46148</v>
      </c>
      <c r="B43" s="11">
        <v>1410</v>
      </c>
      <c r="C43" s="11">
        <v>1426.01</v>
      </c>
      <c r="D43" s="11">
        <v>1479</v>
      </c>
    </row>
    <row r="44" spans="1:4" x14ac:dyDescent="0.2">
      <c r="A44" s="31">
        <v>46149</v>
      </c>
      <c r="B44" s="35">
        <v>1420</v>
      </c>
      <c r="C44" s="35">
        <v>1429.69</v>
      </c>
      <c r="D44" s="35">
        <v>1478.19</v>
      </c>
    </row>
    <row r="45" spans="1:4" ht="15" x14ac:dyDescent="0.25">
      <c r="A45"/>
      <c r="B45"/>
      <c r="C45"/>
      <c r="D45"/>
    </row>
    <row r="46" spans="1:4" ht="15" x14ac:dyDescent="0.25">
      <c r="A46"/>
      <c r="B46"/>
      <c r="C46"/>
      <c r="D46"/>
    </row>
    <row r="47" spans="1:4" ht="15" x14ac:dyDescent="0.25">
      <c r="A47"/>
      <c r="B47"/>
      <c r="C47"/>
      <c r="D47"/>
    </row>
    <row r="48" spans="1:4" ht="15" x14ac:dyDescent="0.25">
      <c r="A48"/>
      <c r="B48"/>
      <c r="C48"/>
      <c r="D48"/>
    </row>
    <row r="49" spans="1:4" ht="15" x14ac:dyDescent="0.25">
      <c r="A49"/>
      <c r="B49"/>
      <c r="C49"/>
      <c r="D49"/>
    </row>
    <row r="50" spans="1:4" ht="15" x14ac:dyDescent="0.25">
      <c r="A50"/>
      <c r="B50"/>
      <c r="C50"/>
      <c r="D50"/>
    </row>
    <row r="51" spans="1:4" ht="15" x14ac:dyDescent="0.25">
      <c r="A51"/>
      <c r="B51"/>
      <c r="C51"/>
      <c r="D51"/>
    </row>
    <row r="52" spans="1:4" ht="15" x14ac:dyDescent="0.25">
      <c r="A52"/>
      <c r="B52"/>
      <c r="C52"/>
      <c r="D52"/>
    </row>
    <row r="53" spans="1:4" ht="15" x14ac:dyDescent="0.25">
      <c r="A53"/>
      <c r="B53"/>
      <c r="C53"/>
      <c r="D53"/>
    </row>
    <row r="54" spans="1:4" ht="15" x14ac:dyDescent="0.25">
      <c r="A54"/>
      <c r="B54"/>
      <c r="C54"/>
      <c r="D54"/>
    </row>
    <row r="55" spans="1:4" ht="15" x14ac:dyDescent="0.25">
      <c r="A55"/>
      <c r="B55"/>
      <c r="C55"/>
      <c r="D55"/>
    </row>
    <row r="56" spans="1:4" ht="15" x14ac:dyDescent="0.25">
      <c r="A56"/>
      <c r="B56"/>
      <c r="C56"/>
      <c r="D56"/>
    </row>
    <row r="57" spans="1:4" ht="15" x14ac:dyDescent="0.25">
      <c r="A57"/>
      <c r="B57"/>
      <c r="C57"/>
      <c r="D57"/>
    </row>
    <row r="58" spans="1:4" ht="15" x14ac:dyDescent="0.25">
      <c r="A58"/>
      <c r="B58"/>
      <c r="C58"/>
      <c r="D58"/>
    </row>
    <row r="59" spans="1:4" ht="15" x14ac:dyDescent="0.25">
      <c r="A59"/>
      <c r="B59"/>
      <c r="C59"/>
      <c r="D59"/>
    </row>
    <row r="60" spans="1:4" ht="15" x14ac:dyDescent="0.25">
      <c r="A60"/>
      <c r="B60"/>
      <c r="C60"/>
      <c r="D60"/>
    </row>
    <row r="61" spans="1:4" ht="15" x14ac:dyDescent="0.25">
      <c r="A61"/>
      <c r="B61"/>
      <c r="C61"/>
      <c r="D61"/>
    </row>
    <row r="62" spans="1:4" ht="15" x14ac:dyDescent="0.25">
      <c r="A62"/>
      <c r="B62"/>
      <c r="C62"/>
      <c r="D62"/>
    </row>
    <row r="63" spans="1:4" ht="15" x14ac:dyDescent="0.25">
      <c r="A63"/>
      <c r="B63"/>
      <c r="C63"/>
      <c r="D63"/>
    </row>
    <row r="64" spans="1:4" ht="15" x14ac:dyDescent="0.25">
      <c r="A64"/>
      <c r="B64"/>
      <c r="C64"/>
      <c r="D64"/>
    </row>
    <row r="65" spans="1:4" ht="15" x14ac:dyDescent="0.25">
      <c r="A65"/>
      <c r="B65"/>
      <c r="C65"/>
      <c r="D65"/>
    </row>
    <row r="66" spans="1:4" ht="15" x14ac:dyDescent="0.25">
      <c r="A66"/>
      <c r="B66"/>
      <c r="C66"/>
      <c r="D66"/>
    </row>
    <row r="67" spans="1:4" ht="15" x14ac:dyDescent="0.25">
      <c r="A67"/>
      <c r="B67"/>
      <c r="C67"/>
      <c r="D67"/>
    </row>
    <row r="68" spans="1:4" ht="15" x14ac:dyDescent="0.25">
      <c r="A68"/>
      <c r="B68"/>
      <c r="C68"/>
      <c r="D68"/>
    </row>
    <row r="69" spans="1:4" ht="15" x14ac:dyDescent="0.25">
      <c r="A69"/>
      <c r="B69"/>
      <c r="C69"/>
      <c r="D69"/>
    </row>
    <row r="70" spans="1:4" ht="15" x14ac:dyDescent="0.25">
      <c r="A70"/>
      <c r="B70"/>
      <c r="C70"/>
      <c r="D70"/>
    </row>
    <row r="71" spans="1:4" ht="15" x14ac:dyDescent="0.25">
      <c r="A71"/>
      <c r="B71"/>
      <c r="C71"/>
      <c r="D71"/>
    </row>
    <row r="72" spans="1:4" ht="15" x14ac:dyDescent="0.25">
      <c r="A72"/>
      <c r="B72"/>
      <c r="C72"/>
      <c r="D72"/>
    </row>
    <row r="73" spans="1:4" ht="15" x14ac:dyDescent="0.25">
      <c r="A73"/>
      <c r="B73"/>
      <c r="C73"/>
      <c r="D73"/>
    </row>
    <row r="74" spans="1:4" ht="15" x14ac:dyDescent="0.25">
      <c r="A74"/>
      <c r="B74"/>
      <c r="C74"/>
      <c r="D74"/>
    </row>
    <row r="75" spans="1:4" ht="15" x14ac:dyDescent="0.25">
      <c r="A75"/>
      <c r="B75"/>
      <c r="C75"/>
      <c r="D75"/>
    </row>
    <row r="76" spans="1:4" ht="15" x14ac:dyDescent="0.25">
      <c r="A76"/>
      <c r="B76"/>
      <c r="C76"/>
      <c r="D76"/>
    </row>
    <row r="77" spans="1:4" ht="15" x14ac:dyDescent="0.25">
      <c r="A77"/>
      <c r="B77"/>
      <c r="C77"/>
      <c r="D77"/>
    </row>
    <row r="78" spans="1:4" ht="15" x14ac:dyDescent="0.25">
      <c r="A78"/>
      <c r="B78"/>
      <c r="C78"/>
      <c r="D78"/>
    </row>
    <row r="79" spans="1:4" ht="15" x14ac:dyDescent="0.25">
      <c r="A79"/>
      <c r="B79"/>
      <c r="C79"/>
      <c r="D79"/>
    </row>
    <row r="80" spans="1:4" ht="15" x14ac:dyDescent="0.25">
      <c r="A80"/>
      <c r="B80"/>
      <c r="C80"/>
      <c r="D80"/>
    </row>
    <row r="81" spans="1:4" ht="15" x14ac:dyDescent="0.25">
      <c r="A81"/>
      <c r="B81"/>
      <c r="C81"/>
      <c r="D81"/>
    </row>
    <row r="82" spans="1:4" ht="15" x14ac:dyDescent="0.25">
      <c r="A82"/>
      <c r="B82"/>
      <c r="C82"/>
      <c r="D82"/>
    </row>
    <row r="83" spans="1:4" ht="15" x14ac:dyDescent="0.25">
      <c r="A83"/>
      <c r="B83"/>
      <c r="C83"/>
      <c r="D83"/>
    </row>
    <row r="84" spans="1:4" ht="15" x14ac:dyDescent="0.25">
      <c r="A84"/>
      <c r="B84"/>
      <c r="C84"/>
      <c r="D84"/>
    </row>
    <row r="85" spans="1:4" x14ac:dyDescent="0.2">
      <c r="A85" s="43"/>
      <c r="B85" s="39"/>
      <c r="C85" s="39"/>
      <c r="D85" s="39"/>
    </row>
    <row r="86" spans="1:4" x14ac:dyDescent="0.2">
      <c r="A86" s="43"/>
      <c r="B86" s="39"/>
      <c r="C86" s="39"/>
      <c r="D86" s="39"/>
    </row>
    <row r="87" spans="1:4" x14ac:dyDescent="0.2">
      <c r="A87" s="43"/>
      <c r="B87" s="39"/>
      <c r="C87" s="39"/>
      <c r="D87" s="39"/>
    </row>
    <row r="88" spans="1:4" x14ac:dyDescent="0.2">
      <c r="A88" s="43"/>
      <c r="B88" s="39"/>
      <c r="C88" s="39"/>
      <c r="D88" s="39"/>
    </row>
    <row r="89" spans="1:4" x14ac:dyDescent="0.2">
      <c r="A89" s="43"/>
      <c r="B89" s="39"/>
      <c r="C89" s="39"/>
      <c r="D89" s="39"/>
    </row>
    <row r="90" spans="1:4" x14ac:dyDescent="0.2">
      <c r="A90" s="43"/>
      <c r="B90" s="39"/>
      <c r="C90" s="39"/>
      <c r="D90" s="39"/>
    </row>
    <row r="91" spans="1:4" x14ac:dyDescent="0.2">
      <c r="A91" s="43"/>
      <c r="B91" s="39"/>
      <c r="C91" s="39"/>
      <c r="D91" s="39"/>
    </row>
    <row r="92" spans="1:4" x14ac:dyDescent="0.2">
      <c r="A92" s="43"/>
      <c r="B92" s="39"/>
      <c r="C92" s="39"/>
      <c r="D92" s="39"/>
    </row>
    <row r="93" spans="1:4" x14ac:dyDescent="0.2">
      <c r="A93" s="43"/>
      <c r="B93" s="39"/>
      <c r="C93" s="39"/>
      <c r="D93" s="39"/>
    </row>
    <row r="94" spans="1:4" x14ac:dyDescent="0.2">
      <c r="A94" s="43"/>
      <c r="B94" s="39"/>
      <c r="C94" s="39"/>
      <c r="D94" s="39"/>
    </row>
    <row r="95" spans="1:4" x14ac:dyDescent="0.2">
      <c r="A95" s="43"/>
      <c r="B95" s="39"/>
      <c r="C95" s="39"/>
      <c r="D95" s="39"/>
    </row>
    <row r="96" spans="1:4" x14ac:dyDescent="0.2">
      <c r="A96" s="43"/>
      <c r="B96" s="39"/>
      <c r="C96" s="39"/>
      <c r="D96" s="39"/>
    </row>
    <row r="97" spans="1:4" x14ac:dyDescent="0.2">
      <c r="A97" s="43"/>
      <c r="B97" s="39"/>
      <c r="C97" s="39"/>
      <c r="D97" s="39"/>
    </row>
    <row r="98" spans="1:4" x14ac:dyDescent="0.2">
      <c r="A98" s="43"/>
      <c r="B98" s="39"/>
      <c r="C98" s="39"/>
      <c r="D98" s="39"/>
    </row>
    <row r="99" spans="1:4" x14ac:dyDescent="0.2">
      <c r="A99" s="43"/>
      <c r="B99" s="39"/>
      <c r="C99" s="39"/>
      <c r="D99" s="39"/>
    </row>
    <row r="100" spans="1:4" x14ac:dyDescent="0.2">
      <c r="A100" s="43"/>
      <c r="B100" s="39"/>
      <c r="C100" s="39"/>
      <c r="D100" s="39"/>
    </row>
    <row r="101" spans="1:4" x14ac:dyDescent="0.2">
      <c r="A101" s="43"/>
      <c r="B101" s="39"/>
      <c r="C101" s="39"/>
      <c r="D101" s="39"/>
    </row>
    <row r="102" spans="1:4" x14ac:dyDescent="0.2">
      <c r="A102" s="43"/>
      <c r="B102" s="39"/>
      <c r="C102" s="39"/>
      <c r="D102" s="39"/>
    </row>
    <row r="103" spans="1:4" x14ac:dyDescent="0.2">
      <c r="A103" s="43"/>
      <c r="B103" s="39"/>
      <c r="C103" s="39"/>
      <c r="D103" s="39"/>
    </row>
    <row r="104" spans="1:4" x14ac:dyDescent="0.2">
      <c r="A104" s="43"/>
      <c r="B104" s="39"/>
      <c r="C104" s="39"/>
      <c r="D104" s="39"/>
    </row>
    <row r="105" spans="1:4" x14ac:dyDescent="0.2">
      <c r="A105" s="43"/>
      <c r="B105" s="39"/>
      <c r="C105" s="39"/>
      <c r="D105" s="39"/>
    </row>
    <row r="106" spans="1:4" x14ac:dyDescent="0.2">
      <c r="A106" s="43"/>
      <c r="B106" s="39"/>
      <c r="C106" s="39"/>
      <c r="D106" s="39"/>
    </row>
    <row r="107" spans="1:4" x14ac:dyDescent="0.2">
      <c r="A107" s="43"/>
      <c r="B107" s="39"/>
      <c r="C107" s="39"/>
      <c r="D107" s="39"/>
    </row>
    <row r="108" spans="1:4" x14ac:dyDescent="0.2">
      <c r="A108" s="43"/>
      <c r="B108" s="39"/>
      <c r="C108" s="39"/>
      <c r="D108" s="39"/>
    </row>
    <row r="109" spans="1:4" x14ac:dyDescent="0.2">
      <c r="A109" s="43"/>
      <c r="B109" s="39"/>
      <c r="C109" s="39"/>
      <c r="D109" s="39"/>
    </row>
    <row r="110" spans="1:4" x14ac:dyDescent="0.2">
      <c r="A110" s="43"/>
      <c r="B110" s="39"/>
      <c r="C110" s="39"/>
      <c r="D110" s="39"/>
    </row>
    <row r="111" spans="1:4" x14ac:dyDescent="0.2">
      <c r="A111" s="43"/>
      <c r="B111" s="39"/>
      <c r="C111" s="39"/>
      <c r="D111" s="39"/>
    </row>
    <row r="112" spans="1:4" x14ac:dyDescent="0.2">
      <c r="A112" s="43"/>
      <c r="B112" s="39"/>
      <c r="C112" s="39"/>
      <c r="D112" s="39"/>
    </row>
    <row r="113" spans="1:4" x14ac:dyDescent="0.2">
      <c r="A113" s="43"/>
      <c r="B113" s="39"/>
      <c r="C113" s="39"/>
      <c r="D113" s="39"/>
    </row>
    <row r="114" spans="1:4" x14ac:dyDescent="0.2">
      <c r="A114" s="43"/>
      <c r="B114" s="39"/>
      <c r="C114" s="39"/>
      <c r="D114" s="39"/>
    </row>
    <row r="115" spans="1:4" x14ac:dyDescent="0.2">
      <c r="A115" s="43"/>
      <c r="B115" s="39"/>
      <c r="C115" s="39"/>
      <c r="D115" s="39"/>
    </row>
    <row r="116" spans="1:4" x14ac:dyDescent="0.2">
      <c r="A116" s="43"/>
      <c r="B116" s="39"/>
      <c r="C116" s="39"/>
      <c r="D116" s="39"/>
    </row>
    <row r="117" spans="1:4" x14ac:dyDescent="0.2">
      <c r="A117" s="43"/>
      <c r="B117" s="39"/>
      <c r="C117" s="39"/>
      <c r="D117" s="39"/>
    </row>
    <row r="118" spans="1:4" x14ac:dyDescent="0.2">
      <c r="A118" s="43"/>
      <c r="B118" s="39"/>
      <c r="C118" s="39"/>
      <c r="D118" s="39"/>
    </row>
    <row r="119" spans="1:4" x14ac:dyDescent="0.2">
      <c r="A119" s="43"/>
      <c r="B119" s="39"/>
      <c r="C119" s="39"/>
      <c r="D119" s="39"/>
    </row>
    <row r="120" spans="1:4" x14ac:dyDescent="0.2">
      <c r="A120" s="43"/>
      <c r="B120" s="39"/>
      <c r="C120" s="39"/>
      <c r="D120" s="39"/>
    </row>
    <row r="121" spans="1:4" x14ac:dyDescent="0.2">
      <c r="A121" s="43"/>
      <c r="B121" s="39"/>
      <c r="C121" s="39"/>
      <c r="D121" s="39"/>
    </row>
    <row r="122" spans="1:4" x14ac:dyDescent="0.2">
      <c r="A122" s="43"/>
      <c r="B122" s="39"/>
      <c r="C122" s="39"/>
      <c r="D122" s="39"/>
    </row>
    <row r="123" spans="1:4" x14ac:dyDescent="0.2">
      <c r="A123" s="43"/>
      <c r="B123" s="39"/>
      <c r="C123" s="39"/>
      <c r="D123" s="39"/>
    </row>
    <row r="124" spans="1:4" x14ac:dyDescent="0.2">
      <c r="A124" s="43"/>
      <c r="B124" s="39"/>
      <c r="C124" s="39"/>
      <c r="D124" s="39"/>
    </row>
    <row r="125" spans="1:4" x14ac:dyDescent="0.2">
      <c r="A125" s="43"/>
      <c r="B125" s="39"/>
      <c r="C125" s="39"/>
      <c r="D125" s="39"/>
    </row>
    <row r="126" spans="1:4" x14ac:dyDescent="0.2">
      <c r="A126" s="43"/>
      <c r="B126" s="39"/>
      <c r="C126" s="39"/>
      <c r="D126" s="39"/>
    </row>
    <row r="127" spans="1:4" x14ac:dyDescent="0.2">
      <c r="A127" s="43"/>
      <c r="B127" s="39"/>
      <c r="C127" s="39"/>
      <c r="D127" s="39"/>
    </row>
    <row r="128" spans="1:4" x14ac:dyDescent="0.2">
      <c r="A128" s="43"/>
      <c r="B128" s="39"/>
      <c r="C128" s="39"/>
      <c r="D128" s="39"/>
    </row>
    <row r="129" spans="1:4" x14ac:dyDescent="0.2">
      <c r="A129" s="43"/>
      <c r="B129" s="39"/>
      <c r="C129" s="39"/>
      <c r="D129" s="39"/>
    </row>
    <row r="130" spans="1:4" x14ac:dyDescent="0.2">
      <c r="A130" s="43"/>
      <c r="B130" s="39"/>
      <c r="C130" s="39"/>
      <c r="D130" s="39"/>
    </row>
    <row r="131" spans="1:4" x14ac:dyDescent="0.2">
      <c r="A131" s="43"/>
      <c r="B131" s="39"/>
      <c r="C131" s="39"/>
      <c r="D131" s="39"/>
    </row>
    <row r="132" spans="1:4" x14ac:dyDescent="0.2">
      <c r="A132" s="43"/>
      <c r="B132" s="39"/>
      <c r="C132" s="39"/>
      <c r="D132" s="39"/>
    </row>
    <row r="133" spans="1:4" x14ac:dyDescent="0.2">
      <c r="A133" s="43"/>
      <c r="B133" s="39"/>
      <c r="C133" s="39"/>
      <c r="D133" s="39"/>
    </row>
    <row r="134" spans="1:4" x14ac:dyDescent="0.2">
      <c r="A134" s="43"/>
      <c r="B134" s="39"/>
      <c r="C134" s="39"/>
      <c r="D134" s="39"/>
    </row>
    <row r="135" spans="1:4" x14ac:dyDescent="0.2">
      <c r="A135" s="43"/>
      <c r="B135" s="39"/>
      <c r="C135" s="39"/>
      <c r="D135" s="39"/>
    </row>
    <row r="136" spans="1:4" x14ac:dyDescent="0.2">
      <c r="A136" s="43"/>
      <c r="B136" s="39"/>
      <c r="C136" s="39"/>
      <c r="D136" s="39"/>
    </row>
    <row r="137" spans="1:4" x14ac:dyDescent="0.2">
      <c r="A137" s="43"/>
      <c r="B137" s="39"/>
      <c r="C137" s="39"/>
      <c r="D137" s="39"/>
    </row>
    <row r="138" spans="1:4" x14ac:dyDescent="0.2">
      <c r="A138" s="43"/>
      <c r="B138" s="39"/>
      <c r="C138" s="39"/>
      <c r="D138" s="39"/>
    </row>
    <row r="139" spans="1:4" x14ac:dyDescent="0.2">
      <c r="A139" s="43"/>
      <c r="B139" s="39"/>
      <c r="C139" s="39"/>
      <c r="D139" s="39"/>
    </row>
    <row r="140" spans="1:4" x14ac:dyDescent="0.2">
      <c r="A140" s="43"/>
      <c r="B140" s="39"/>
      <c r="C140" s="39"/>
      <c r="D140" s="39"/>
    </row>
    <row r="141" spans="1:4" x14ac:dyDescent="0.2">
      <c r="A141" s="43"/>
      <c r="B141" s="39"/>
      <c r="C141" s="39"/>
      <c r="D141" s="39"/>
    </row>
    <row r="142" spans="1:4" x14ac:dyDescent="0.2">
      <c r="A142" s="43"/>
      <c r="B142" s="39"/>
      <c r="C142" s="39"/>
      <c r="D142" s="39"/>
    </row>
    <row r="143" spans="1:4" x14ac:dyDescent="0.2">
      <c r="A143" s="43"/>
      <c r="B143" s="39"/>
      <c r="C143" s="39"/>
      <c r="D143" s="39"/>
    </row>
    <row r="144" spans="1:4" x14ac:dyDescent="0.2">
      <c r="A144" s="43"/>
      <c r="B144" s="39"/>
      <c r="C144" s="39"/>
      <c r="D144" s="39"/>
    </row>
    <row r="145" spans="1:4" x14ac:dyDescent="0.2">
      <c r="A145" s="43"/>
      <c r="B145" s="39"/>
      <c r="C145" s="39"/>
      <c r="D145" s="39"/>
    </row>
    <row r="146" spans="1:4" x14ac:dyDescent="0.2">
      <c r="A146" s="43"/>
      <c r="B146" s="39"/>
      <c r="C146" s="39"/>
      <c r="D146" s="39"/>
    </row>
    <row r="147" spans="1:4" x14ac:dyDescent="0.2">
      <c r="A147" s="43"/>
      <c r="B147" s="39"/>
      <c r="C147" s="39"/>
      <c r="D147" s="39"/>
    </row>
    <row r="148" spans="1:4" x14ac:dyDescent="0.2">
      <c r="A148" s="43"/>
      <c r="B148" s="39"/>
      <c r="C148" s="39"/>
      <c r="D148" s="39"/>
    </row>
    <row r="149" spans="1:4" x14ac:dyDescent="0.2">
      <c r="A149" s="43"/>
      <c r="B149" s="39"/>
      <c r="C149" s="39"/>
      <c r="D149" s="39"/>
    </row>
    <row r="150" spans="1:4" x14ac:dyDescent="0.2">
      <c r="A150" s="43"/>
      <c r="B150" s="39"/>
      <c r="C150" s="39"/>
      <c r="D150" s="39"/>
    </row>
    <row r="151" spans="1:4" x14ac:dyDescent="0.2">
      <c r="A151" s="43"/>
      <c r="B151" s="39"/>
      <c r="C151" s="39"/>
      <c r="D151" s="39"/>
    </row>
    <row r="152" spans="1:4" x14ac:dyDescent="0.2">
      <c r="A152" s="43"/>
      <c r="B152" s="39"/>
      <c r="C152" s="39"/>
      <c r="D152" s="39"/>
    </row>
    <row r="153" spans="1:4" x14ac:dyDescent="0.2">
      <c r="A153" s="43"/>
      <c r="B153" s="39"/>
      <c r="C153" s="39"/>
      <c r="D153" s="39"/>
    </row>
    <row r="154" spans="1:4" x14ac:dyDescent="0.2">
      <c r="A154" s="43"/>
      <c r="B154" s="39"/>
      <c r="C154" s="39"/>
      <c r="D154" s="39"/>
    </row>
    <row r="155" spans="1:4" x14ac:dyDescent="0.2">
      <c r="A155" s="43"/>
      <c r="B155" s="39"/>
      <c r="C155" s="39"/>
      <c r="D155" s="39"/>
    </row>
    <row r="156" spans="1:4" x14ac:dyDescent="0.2">
      <c r="A156" s="43"/>
      <c r="B156" s="39"/>
      <c r="C156" s="39"/>
      <c r="D156" s="39"/>
    </row>
    <row r="157" spans="1:4" x14ac:dyDescent="0.2">
      <c r="A157" s="43"/>
      <c r="B157" s="39"/>
      <c r="C157" s="39"/>
      <c r="D157" s="39"/>
    </row>
    <row r="158" spans="1:4" x14ac:dyDescent="0.2">
      <c r="A158" s="43"/>
      <c r="B158" s="39"/>
      <c r="C158" s="39"/>
      <c r="D158" s="39"/>
    </row>
    <row r="159" spans="1:4" x14ac:dyDescent="0.2">
      <c r="A159" s="43"/>
      <c r="B159" s="39"/>
      <c r="C159" s="39"/>
      <c r="D159" s="39"/>
    </row>
    <row r="160" spans="1:4" x14ac:dyDescent="0.2">
      <c r="A160" s="43"/>
      <c r="B160" s="39"/>
      <c r="C160" s="39"/>
      <c r="D160" s="39"/>
    </row>
    <row r="161" spans="1:4" x14ac:dyDescent="0.2">
      <c r="A161" s="43"/>
      <c r="B161" s="39"/>
      <c r="C161" s="39"/>
      <c r="D161" s="39"/>
    </row>
    <row r="162" spans="1:4" x14ac:dyDescent="0.2">
      <c r="A162" s="43"/>
      <c r="B162" s="39"/>
      <c r="C162" s="39"/>
      <c r="D162" s="39"/>
    </row>
    <row r="163" spans="1:4" x14ac:dyDescent="0.2">
      <c r="A163" s="43"/>
      <c r="B163" s="39"/>
      <c r="C163" s="39"/>
      <c r="D163" s="39"/>
    </row>
    <row r="164" spans="1:4" x14ac:dyDescent="0.2">
      <c r="A164" s="43"/>
      <c r="B164" s="39"/>
      <c r="C164" s="39"/>
      <c r="D164" s="39"/>
    </row>
    <row r="165" spans="1:4" x14ac:dyDescent="0.2">
      <c r="A165" s="43"/>
      <c r="B165" s="39"/>
      <c r="C165" s="39"/>
      <c r="D165" s="39"/>
    </row>
    <row r="166" spans="1:4" x14ac:dyDescent="0.2">
      <c r="A166" s="43"/>
      <c r="B166" s="39"/>
      <c r="C166" s="39"/>
      <c r="D166" s="39"/>
    </row>
    <row r="167" spans="1:4" x14ac:dyDescent="0.2">
      <c r="A167" s="43"/>
      <c r="B167" s="39"/>
      <c r="C167" s="39"/>
      <c r="D167" s="39"/>
    </row>
    <row r="168" spans="1:4" x14ac:dyDescent="0.2">
      <c r="A168" s="43"/>
      <c r="B168" s="39"/>
      <c r="C168" s="39"/>
      <c r="D168" s="39"/>
    </row>
    <row r="169" spans="1:4" x14ac:dyDescent="0.2">
      <c r="A169" s="43"/>
      <c r="B169" s="39"/>
      <c r="C169" s="39"/>
      <c r="D169" s="39"/>
    </row>
    <row r="170" spans="1:4" x14ac:dyDescent="0.2">
      <c r="A170" s="43"/>
      <c r="B170" s="39"/>
      <c r="C170" s="39"/>
      <c r="D170" s="39"/>
    </row>
    <row r="171" spans="1:4" x14ac:dyDescent="0.2">
      <c r="A171" s="43"/>
      <c r="B171" s="39"/>
      <c r="C171" s="39"/>
      <c r="D171" s="39"/>
    </row>
    <row r="172" spans="1:4" x14ac:dyDescent="0.2">
      <c r="A172" s="43"/>
      <c r="B172" s="39"/>
      <c r="C172" s="39"/>
      <c r="D172" s="39"/>
    </row>
    <row r="173" spans="1:4" x14ac:dyDescent="0.2">
      <c r="A173" s="43"/>
      <c r="B173" s="39"/>
      <c r="C173" s="39"/>
      <c r="D173" s="39"/>
    </row>
    <row r="174" spans="1:4" x14ac:dyDescent="0.2">
      <c r="A174" s="43"/>
      <c r="B174" s="39"/>
      <c r="C174" s="39"/>
      <c r="D174" s="39"/>
    </row>
    <row r="175" spans="1:4" x14ac:dyDescent="0.2">
      <c r="A175" s="43"/>
      <c r="B175" s="39"/>
      <c r="C175" s="39"/>
      <c r="D175" s="39"/>
    </row>
    <row r="176" spans="1:4" x14ac:dyDescent="0.2">
      <c r="A176" s="43"/>
      <c r="B176" s="39"/>
      <c r="C176" s="39"/>
      <c r="D176" s="39"/>
    </row>
    <row r="177" spans="1:4" x14ac:dyDescent="0.2">
      <c r="A177" s="43"/>
      <c r="B177" s="39"/>
      <c r="C177" s="39"/>
      <c r="D177" s="39"/>
    </row>
    <row r="178" spans="1:4" x14ac:dyDescent="0.2">
      <c r="A178" s="43"/>
      <c r="B178" s="39"/>
      <c r="C178" s="39"/>
      <c r="D178" s="39"/>
    </row>
    <row r="179" spans="1:4" x14ac:dyDescent="0.2">
      <c r="A179" s="43"/>
      <c r="B179" s="39"/>
      <c r="C179" s="39"/>
      <c r="D179" s="39"/>
    </row>
    <row r="180" spans="1:4" x14ac:dyDescent="0.2">
      <c r="A180" s="43"/>
      <c r="B180" s="39"/>
      <c r="C180" s="39"/>
      <c r="D180" s="39"/>
    </row>
    <row r="181" spans="1:4" x14ac:dyDescent="0.2">
      <c r="A181" s="43"/>
      <c r="B181" s="39"/>
      <c r="C181" s="39"/>
      <c r="D181" s="39"/>
    </row>
    <row r="182" spans="1:4" x14ac:dyDescent="0.2">
      <c r="A182" s="43"/>
      <c r="B182" s="39"/>
      <c r="C182" s="39"/>
      <c r="D182" s="39"/>
    </row>
    <row r="183" spans="1:4" x14ac:dyDescent="0.2">
      <c r="A183" s="43"/>
      <c r="B183" s="39"/>
      <c r="C183" s="39"/>
      <c r="D183" s="39"/>
    </row>
    <row r="184" spans="1:4" x14ac:dyDescent="0.2">
      <c r="A184" s="43"/>
      <c r="B184" s="39"/>
      <c r="C184" s="39"/>
      <c r="D184" s="39"/>
    </row>
    <row r="185" spans="1:4" x14ac:dyDescent="0.2">
      <c r="A185" s="43"/>
      <c r="B185" s="39"/>
      <c r="C185" s="39"/>
      <c r="D185" s="39"/>
    </row>
    <row r="186" spans="1:4" x14ac:dyDescent="0.2">
      <c r="A186" s="43"/>
      <c r="B186" s="39"/>
      <c r="C186" s="39"/>
      <c r="D186" s="39"/>
    </row>
    <row r="187" spans="1:4" x14ac:dyDescent="0.2">
      <c r="A187" s="43"/>
      <c r="B187" s="39"/>
      <c r="C187" s="39"/>
      <c r="D187" s="39"/>
    </row>
    <row r="188" spans="1:4" x14ac:dyDescent="0.2">
      <c r="A188" s="43"/>
      <c r="B188" s="39"/>
      <c r="C188" s="39"/>
      <c r="D188" s="39"/>
    </row>
    <row r="189" spans="1:4" x14ac:dyDescent="0.2">
      <c r="A189" s="43"/>
      <c r="B189" s="39"/>
      <c r="C189" s="39"/>
      <c r="D189" s="39"/>
    </row>
    <row r="190" spans="1:4" x14ac:dyDescent="0.2">
      <c r="A190" s="43"/>
      <c r="B190" s="39"/>
      <c r="C190" s="39"/>
      <c r="D190" s="39"/>
    </row>
    <row r="191" spans="1:4" x14ac:dyDescent="0.2">
      <c r="A191" s="43"/>
      <c r="B191" s="39"/>
      <c r="C191" s="39"/>
      <c r="D191" s="39"/>
    </row>
    <row r="192" spans="1:4" x14ac:dyDescent="0.2">
      <c r="A192" s="43"/>
      <c r="B192" s="39"/>
      <c r="C192" s="39"/>
      <c r="D192" s="39"/>
    </row>
    <row r="193" spans="1:4" x14ac:dyDescent="0.2">
      <c r="A193" s="43"/>
      <c r="B193" s="39"/>
      <c r="C193" s="39"/>
      <c r="D193" s="39"/>
    </row>
    <row r="194" spans="1:4" x14ac:dyDescent="0.2">
      <c r="A194" s="43"/>
      <c r="B194" s="39"/>
      <c r="C194" s="39"/>
      <c r="D194" s="39"/>
    </row>
    <row r="195" spans="1:4" x14ac:dyDescent="0.2">
      <c r="A195" s="43"/>
      <c r="B195" s="39"/>
      <c r="C195" s="39"/>
      <c r="D195" s="39"/>
    </row>
    <row r="196" spans="1:4" x14ac:dyDescent="0.2">
      <c r="A196" s="43"/>
      <c r="B196" s="39"/>
      <c r="C196" s="39"/>
      <c r="D196" s="39"/>
    </row>
    <row r="197" spans="1:4" x14ac:dyDescent="0.2">
      <c r="A197" s="43"/>
      <c r="B197" s="39"/>
      <c r="C197" s="39"/>
      <c r="D197" s="39"/>
    </row>
    <row r="198" spans="1:4" x14ac:dyDescent="0.2">
      <c r="A198" s="43"/>
      <c r="B198" s="39"/>
      <c r="C198" s="39"/>
      <c r="D198" s="39"/>
    </row>
    <row r="199" spans="1:4" x14ac:dyDescent="0.2">
      <c r="A199" s="43"/>
      <c r="B199" s="39"/>
      <c r="C199" s="39"/>
      <c r="D199" s="39"/>
    </row>
    <row r="200" spans="1:4" x14ac:dyDescent="0.2">
      <c r="A200" s="43"/>
      <c r="B200" s="39"/>
      <c r="C200" s="39"/>
      <c r="D200" s="39"/>
    </row>
    <row r="201" spans="1:4" x14ac:dyDescent="0.2">
      <c r="A201" s="43"/>
      <c r="B201" s="39"/>
      <c r="C201" s="39"/>
      <c r="D201" s="39"/>
    </row>
    <row r="202" spans="1:4" x14ac:dyDescent="0.2">
      <c r="A202" s="43"/>
      <c r="B202" s="39"/>
      <c r="C202" s="39"/>
      <c r="D202" s="39"/>
    </row>
    <row r="203" spans="1:4" x14ac:dyDescent="0.2">
      <c r="A203" s="43"/>
      <c r="B203" s="39"/>
      <c r="C203" s="39"/>
      <c r="D203" s="39"/>
    </row>
    <row r="204" spans="1:4" x14ac:dyDescent="0.2">
      <c r="A204" s="43"/>
      <c r="B204" s="39"/>
      <c r="C204" s="39"/>
      <c r="D204" s="39"/>
    </row>
    <row r="205" spans="1:4" x14ac:dyDescent="0.2">
      <c r="A205" s="43"/>
      <c r="B205" s="39"/>
      <c r="C205" s="39"/>
      <c r="D205" s="39"/>
    </row>
    <row r="206" spans="1:4" x14ac:dyDescent="0.2">
      <c r="A206" s="43"/>
      <c r="B206" s="39"/>
      <c r="C206" s="39"/>
      <c r="D206" s="39"/>
    </row>
    <row r="207" spans="1:4" x14ac:dyDescent="0.2">
      <c r="A207" s="43"/>
      <c r="B207" s="39"/>
      <c r="C207" s="39"/>
      <c r="D207" s="39"/>
    </row>
    <row r="208" spans="1:4" x14ac:dyDescent="0.2">
      <c r="A208" s="43"/>
      <c r="B208" s="39"/>
      <c r="C208" s="39"/>
      <c r="D208" s="39"/>
    </row>
    <row r="209" spans="1:4" x14ac:dyDescent="0.2">
      <c r="A209" s="43"/>
      <c r="B209" s="39"/>
      <c r="C209" s="39"/>
      <c r="D209" s="39"/>
    </row>
    <row r="210" spans="1:4" x14ac:dyDescent="0.2">
      <c r="A210" s="43"/>
      <c r="B210" s="39"/>
      <c r="C210" s="39"/>
      <c r="D210" s="39"/>
    </row>
    <row r="211" spans="1:4" x14ac:dyDescent="0.2">
      <c r="A211" s="43"/>
      <c r="B211" s="39"/>
      <c r="C211" s="39"/>
      <c r="D211" s="39"/>
    </row>
    <row r="212" spans="1:4" x14ac:dyDescent="0.2">
      <c r="A212" s="43"/>
      <c r="B212" s="39"/>
      <c r="C212" s="39"/>
      <c r="D212" s="39"/>
    </row>
    <row r="213" spans="1:4" x14ac:dyDescent="0.2">
      <c r="A213" s="43"/>
      <c r="B213" s="39"/>
      <c r="C213" s="39"/>
      <c r="D213" s="39"/>
    </row>
    <row r="214" spans="1:4" x14ac:dyDescent="0.2">
      <c r="A214" s="43"/>
      <c r="B214" s="39"/>
      <c r="C214" s="39"/>
      <c r="D214" s="39"/>
    </row>
    <row r="215" spans="1:4" x14ac:dyDescent="0.2">
      <c r="A215" s="43"/>
      <c r="B215" s="39"/>
      <c r="C215" s="39"/>
      <c r="D215" s="39"/>
    </row>
    <row r="216" spans="1:4" x14ac:dyDescent="0.2">
      <c r="A216" s="43"/>
      <c r="B216" s="39"/>
      <c r="C216" s="39"/>
      <c r="D216" s="39"/>
    </row>
    <row r="217" spans="1:4" x14ac:dyDescent="0.2">
      <c r="A217" s="43"/>
      <c r="B217" s="39"/>
      <c r="C217" s="39"/>
      <c r="D217" s="39"/>
    </row>
    <row r="218" spans="1:4" x14ac:dyDescent="0.2">
      <c r="A218" s="43"/>
      <c r="B218" s="39"/>
      <c r="C218" s="39"/>
      <c r="D218" s="39"/>
    </row>
    <row r="219" spans="1:4" x14ac:dyDescent="0.2">
      <c r="A219" s="43"/>
      <c r="B219" s="39"/>
      <c r="C219" s="39"/>
      <c r="D219" s="39"/>
    </row>
    <row r="220" spans="1:4" x14ac:dyDescent="0.2">
      <c r="A220" s="43"/>
      <c r="B220" s="39"/>
      <c r="C220" s="39"/>
      <c r="D220" s="39"/>
    </row>
    <row r="221" spans="1:4" x14ac:dyDescent="0.2">
      <c r="A221" s="43"/>
      <c r="B221" s="39"/>
      <c r="C221" s="39"/>
      <c r="D221" s="39"/>
    </row>
    <row r="222" spans="1:4" x14ac:dyDescent="0.2">
      <c r="A222" s="43"/>
      <c r="B222" s="39"/>
      <c r="C222" s="39"/>
      <c r="D222" s="39"/>
    </row>
    <row r="223" spans="1:4" x14ac:dyDescent="0.2">
      <c r="A223" s="43"/>
      <c r="B223" s="39"/>
      <c r="C223" s="39"/>
      <c r="D223" s="39"/>
    </row>
    <row r="224" spans="1:4" x14ac:dyDescent="0.2">
      <c r="A224" s="43"/>
      <c r="B224" s="39"/>
      <c r="C224" s="39"/>
      <c r="D224" s="39"/>
    </row>
    <row r="225" spans="1:4" x14ac:dyDescent="0.2">
      <c r="A225" s="43"/>
      <c r="B225" s="39"/>
      <c r="C225" s="39"/>
      <c r="D225" s="39"/>
    </row>
    <row r="226" spans="1:4" x14ac:dyDescent="0.2">
      <c r="A226" s="43"/>
      <c r="B226" s="39"/>
      <c r="C226" s="39"/>
      <c r="D226" s="39"/>
    </row>
    <row r="227" spans="1:4" x14ac:dyDescent="0.2">
      <c r="A227" s="43"/>
      <c r="B227" s="39"/>
      <c r="C227" s="39"/>
      <c r="D227" s="39"/>
    </row>
    <row r="228" spans="1:4" x14ac:dyDescent="0.2">
      <c r="A228" s="43"/>
      <c r="B228" s="39"/>
      <c r="C228" s="39"/>
      <c r="D228" s="39"/>
    </row>
    <row r="229" spans="1:4" x14ac:dyDescent="0.2">
      <c r="A229" s="43"/>
      <c r="B229" s="39"/>
      <c r="C229" s="39"/>
      <c r="D229" s="39"/>
    </row>
    <row r="230" spans="1:4" x14ac:dyDescent="0.2">
      <c r="A230" s="43"/>
      <c r="B230" s="39"/>
      <c r="C230" s="39"/>
      <c r="D230" s="39"/>
    </row>
    <row r="231" spans="1:4" x14ac:dyDescent="0.2">
      <c r="A231" s="43"/>
      <c r="B231" s="39"/>
      <c r="C231" s="39"/>
      <c r="D231" s="39"/>
    </row>
    <row r="232" spans="1:4" x14ac:dyDescent="0.2">
      <c r="A232" s="43"/>
      <c r="B232" s="39"/>
      <c r="C232" s="39"/>
      <c r="D232" s="39"/>
    </row>
    <row r="233" spans="1:4" x14ac:dyDescent="0.2">
      <c r="A233" s="43"/>
      <c r="B233" s="39"/>
      <c r="C233" s="39"/>
      <c r="D233" s="39"/>
    </row>
    <row r="234" spans="1:4" x14ac:dyDescent="0.2">
      <c r="A234" s="43"/>
      <c r="B234" s="39"/>
      <c r="C234" s="39"/>
      <c r="D234" s="39"/>
    </row>
    <row r="235" spans="1:4" x14ac:dyDescent="0.2">
      <c r="A235" s="43"/>
      <c r="B235" s="39"/>
      <c r="C235" s="39"/>
      <c r="D235" s="39"/>
    </row>
    <row r="236" spans="1:4" x14ac:dyDescent="0.2">
      <c r="A236" s="43"/>
      <c r="B236" s="39"/>
      <c r="C236" s="39"/>
      <c r="D236" s="39"/>
    </row>
    <row r="237" spans="1:4" x14ac:dyDescent="0.2">
      <c r="A237" s="43"/>
      <c r="B237" s="39"/>
      <c r="C237" s="39"/>
      <c r="D237" s="39"/>
    </row>
    <row r="238" spans="1:4" x14ac:dyDescent="0.2">
      <c r="A238" s="43"/>
      <c r="B238" s="39"/>
      <c r="C238" s="39"/>
      <c r="D238" s="39"/>
    </row>
    <row r="239" spans="1:4" x14ac:dyDescent="0.2">
      <c r="A239" s="43"/>
      <c r="B239" s="39"/>
      <c r="C239" s="39"/>
      <c r="D239" s="39"/>
    </row>
    <row r="240" spans="1:4" x14ac:dyDescent="0.2">
      <c r="A240" s="43"/>
      <c r="B240" s="39"/>
      <c r="C240" s="39"/>
      <c r="D240" s="39"/>
    </row>
    <row r="241" spans="1:4" x14ac:dyDescent="0.2">
      <c r="A241" s="43"/>
      <c r="B241" s="39"/>
      <c r="C241" s="39"/>
      <c r="D241" s="39"/>
    </row>
    <row r="242" spans="1:4" x14ac:dyDescent="0.2">
      <c r="A242" s="43"/>
      <c r="B242" s="39"/>
      <c r="C242" s="39"/>
      <c r="D242" s="39"/>
    </row>
    <row r="243" spans="1:4" x14ac:dyDescent="0.2">
      <c r="A243" s="43"/>
      <c r="B243" s="39"/>
      <c r="C243" s="39"/>
      <c r="D243" s="39"/>
    </row>
    <row r="244" spans="1:4" x14ac:dyDescent="0.2">
      <c r="A244" s="43"/>
      <c r="B244" s="39"/>
      <c r="C244" s="39"/>
      <c r="D244" s="39"/>
    </row>
    <row r="245" spans="1:4" x14ac:dyDescent="0.2">
      <c r="A245" s="43"/>
      <c r="B245" s="39"/>
      <c r="C245" s="39"/>
      <c r="D245" s="39"/>
    </row>
    <row r="246" spans="1:4" x14ac:dyDescent="0.2">
      <c r="A246" s="43"/>
      <c r="B246" s="39"/>
      <c r="C246" s="39"/>
      <c r="D246" s="39"/>
    </row>
    <row r="247" spans="1:4" x14ac:dyDescent="0.2">
      <c r="A247" s="43"/>
      <c r="B247" s="39"/>
      <c r="C247" s="39"/>
      <c r="D247" s="39"/>
    </row>
    <row r="248" spans="1:4" x14ac:dyDescent="0.2">
      <c r="A248" s="43"/>
      <c r="B248" s="39"/>
      <c r="C248" s="39"/>
      <c r="D248" s="39"/>
    </row>
    <row r="249" spans="1:4" x14ac:dyDescent="0.2">
      <c r="A249" s="43"/>
      <c r="B249" s="39"/>
      <c r="C249" s="39"/>
      <c r="D249" s="39"/>
    </row>
    <row r="250" spans="1:4" x14ac:dyDescent="0.2">
      <c r="A250" s="43"/>
      <c r="B250" s="39"/>
      <c r="C250" s="39"/>
      <c r="D250" s="39"/>
    </row>
    <row r="251" spans="1:4" x14ac:dyDescent="0.2">
      <c r="A251" s="43"/>
      <c r="B251" s="39"/>
      <c r="C251" s="39"/>
      <c r="D251" s="39"/>
    </row>
    <row r="252" spans="1:4" x14ac:dyDescent="0.2">
      <c r="A252" s="43"/>
      <c r="B252" s="39"/>
      <c r="C252" s="39"/>
      <c r="D252" s="39"/>
    </row>
    <row r="253" spans="1:4" x14ac:dyDescent="0.2">
      <c r="A253" s="43"/>
      <c r="B253" s="39"/>
      <c r="C253" s="39"/>
      <c r="D253" s="39"/>
    </row>
    <row r="254" spans="1:4" x14ac:dyDescent="0.2">
      <c r="A254" s="43"/>
      <c r="B254" s="39"/>
      <c r="C254" s="39"/>
      <c r="D254" s="39"/>
    </row>
    <row r="255" spans="1:4" x14ac:dyDescent="0.2">
      <c r="A255" s="43"/>
      <c r="B255" s="39"/>
      <c r="C255" s="39"/>
      <c r="D255" s="39"/>
    </row>
    <row r="256" spans="1:4" x14ac:dyDescent="0.2">
      <c r="A256" s="43"/>
      <c r="B256" s="39"/>
      <c r="C256" s="39"/>
      <c r="D256" s="39"/>
    </row>
    <row r="257" spans="1:4" x14ac:dyDescent="0.2">
      <c r="A257" s="43"/>
      <c r="B257" s="39"/>
      <c r="C257" s="39"/>
      <c r="D257" s="39"/>
    </row>
    <row r="258" spans="1:4" x14ac:dyDescent="0.2">
      <c r="A258" s="43"/>
      <c r="B258" s="39"/>
      <c r="C258" s="39"/>
      <c r="D258" s="39"/>
    </row>
    <row r="259" spans="1:4" x14ac:dyDescent="0.2">
      <c r="A259" s="43"/>
      <c r="B259" s="39"/>
      <c r="C259" s="39"/>
      <c r="D259" s="39"/>
    </row>
    <row r="260" spans="1:4" x14ac:dyDescent="0.2">
      <c r="A260" s="43"/>
      <c r="B260" s="39"/>
      <c r="C260" s="39"/>
      <c r="D260" s="39"/>
    </row>
    <row r="261" spans="1:4" x14ac:dyDescent="0.2">
      <c r="A261" s="43"/>
      <c r="B261" s="39"/>
      <c r="C261" s="39"/>
      <c r="D261" s="39"/>
    </row>
    <row r="262" spans="1:4" x14ac:dyDescent="0.2">
      <c r="A262" s="43"/>
      <c r="B262" s="39"/>
      <c r="C262" s="39"/>
      <c r="D262" s="39"/>
    </row>
    <row r="263" spans="1:4" x14ac:dyDescent="0.2">
      <c r="A263" s="43"/>
      <c r="B263" s="39"/>
      <c r="C263" s="39"/>
      <c r="D263" s="39"/>
    </row>
    <row r="264" spans="1:4" x14ac:dyDescent="0.2">
      <c r="A264" s="43"/>
      <c r="B264" s="39"/>
      <c r="C264" s="39"/>
      <c r="D264" s="39"/>
    </row>
    <row r="265" spans="1:4" x14ac:dyDescent="0.2">
      <c r="A265" s="43"/>
      <c r="B265" s="39"/>
      <c r="C265" s="39"/>
      <c r="D265" s="39"/>
    </row>
    <row r="266" spans="1:4" x14ac:dyDescent="0.2">
      <c r="A266" s="43"/>
      <c r="B266" s="39"/>
      <c r="C266" s="39"/>
      <c r="D266" s="39"/>
    </row>
    <row r="267" spans="1:4" x14ac:dyDescent="0.2">
      <c r="A267" s="43"/>
      <c r="B267" s="39"/>
      <c r="C267" s="39"/>
      <c r="D267" s="39"/>
    </row>
    <row r="268" spans="1:4" x14ac:dyDescent="0.2">
      <c r="A268" s="43"/>
      <c r="B268" s="39"/>
      <c r="C268" s="39"/>
      <c r="D268" s="39"/>
    </row>
    <row r="269" spans="1:4" x14ac:dyDescent="0.2">
      <c r="A269" s="43"/>
      <c r="B269" s="39"/>
      <c r="C269" s="39"/>
      <c r="D269" s="39"/>
    </row>
    <row r="270" spans="1:4" x14ac:dyDescent="0.2">
      <c r="A270" s="43"/>
      <c r="B270" s="39"/>
      <c r="C270" s="39"/>
      <c r="D270" s="39"/>
    </row>
    <row r="271" spans="1:4" x14ac:dyDescent="0.2">
      <c r="A271" s="43"/>
      <c r="B271" s="39"/>
      <c r="C271" s="39"/>
      <c r="D271" s="39"/>
    </row>
    <row r="272" spans="1:4" x14ac:dyDescent="0.2">
      <c r="A272" s="43"/>
      <c r="B272" s="39"/>
      <c r="C272" s="39"/>
      <c r="D272" s="39"/>
    </row>
    <row r="273" spans="1:4" x14ac:dyDescent="0.2">
      <c r="A273" s="43"/>
      <c r="B273" s="39"/>
      <c r="C273" s="39"/>
      <c r="D273" s="39"/>
    </row>
    <row r="274" spans="1:4" x14ac:dyDescent="0.2">
      <c r="A274" s="43"/>
      <c r="B274" s="39"/>
      <c r="C274" s="39"/>
      <c r="D274" s="39"/>
    </row>
    <row r="275" spans="1:4" x14ac:dyDescent="0.2">
      <c r="A275" s="43"/>
      <c r="B275" s="39"/>
      <c r="C275" s="39"/>
      <c r="D275" s="39"/>
    </row>
    <row r="276" spans="1:4" x14ac:dyDescent="0.2">
      <c r="A276" s="43"/>
      <c r="B276" s="39"/>
      <c r="C276" s="39"/>
      <c r="D276" s="39"/>
    </row>
    <row r="277" spans="1:4" x14ac:dyDescent="0.2">
      <c r="A277" s="43"/>
      <c r="B277" s="39"/>
      <c r="C277" s="39"/>
      <c r="D277" s="39"/>
    </row>
    <row r="278" spans="1:4" x14ac:dyDescent="0.2">
      <c r="A278" s="43"/>
      <c r="B278" s="39"/>
      <c r="C278" s="39"/>
      <c r="D278" s="39"/>
    </row>
    <row r="279" spans="1:4" x14ac:dyDescent="0.2">
      <c r="A279" s="43"/>
      <c r="B279" s="39"/>
      <c r="C279" s="39"/>
      <c r="D279" s="39"/>
    </row>
    <row r="280" spans="1:4" x14ac:dyDescent="0.2">
      <c r="A280" s="43"/>
      <c r="B280" s="39"/>
      <c r="C280" s="39"/>
      <c r="D280" s="39"/>
    </row>
    <row r="281" spans="1:4" x14ac:dyDescent="0.2">
      <c r="A281" s="43"/>
      <c r="B281" s="39"/>
      <c r="C281" s="39"/>
      <c r="D281" s="39"/>
    </row>
    <row r="282" spans="1:4" x14ac:dyDescent="0.2">
      <c r="A282" s="43"/>
      <c r="B282" s="39"/>
      <c r="C282" s="39"/>
      <c r="D282" s="39"/>
    </row>
    <row r="283" spans="1:4" x14ac:dyDescent="0.2">
      <c r="A283" s="43"/>
      <c r="B283" s="39"/>
      <c r="C283" s="39"/>
      <c r="D283" s="39"/>
    </row>
    <row r="284" spans="1:4" x14ac:dyDescent="0.2">
      <c r="A284" s="43"/>
      <c r="B284" s="39"/>
      <c r="C284" s="39"/>
      <c r="D284" s="39"/>
    </row>
    <row r="285" spans="1:4" x14ac:dyDescent="0.2">
      <c r="A285" s="43"/>
      <c r="B285" s="39"/>
      <c r="C285" s="39"/>
      <c r="D285" s="39"/>
    </row>
    <row r="286" spans="1:4" x14ac:dyDescent="0.2">
      <c r="A286" s="43"/>
      <c r="B286" s="39"/>
      <c r="C286" s="39"/>
      <c r="D286" s="39"/>
    </row>
    <row r="287" spans="1:4" x14ac:dyDescent="0.2">
      <c r="A287" s="43"/>
      <c r="B287" s="39"/>
      <c r="C287" s="39"/>
      <c r="D287" s="39"/>
    </row>
    <row r="288" spans="1:4" x14ac:dyDescent="0.2">
      <c r="A288" s="43"/>
      <c r="B288" s="39"/>
      <c r="C288" s="39"/>
      <c r="D288" s="39"/>
    </row>
    <row r="289" spans="1:4" x14ac:dyDescent="0.2">
      <c r="A289" s="43"/>
      <c r="B289" s="39"/>
      <c r="C289" s="39"/>
      <c r="D289" s="39"/>
    </row>
    <row r="290" spans="1:4" x14ac:dyDescent="0.2">
      <c r="A290" s="43"/>
      <c r="B290" s="39"/>
      <c r="C290" s="39"/>
      <c r="D290" s="39"/>
    </row>
    <row r="291" spans="1:4" x14ac:dyDescent="0.2">
      <c r="A291" s="43"/>
      <c r="B291" s="39"/>
      <c r="C291" s="39"/>
      <c r="D291" s="39"/>
    </row>
    <row r="292" spans="1:4" x14ac:dyDescent="0.2">
      <c r="A292" s="43"/>
      <c r="B292" s="39"/>
      <c r="C292" s="39"/>
      <c r="D292" s="39"/>
    </row>
    <row r="293" spans="1:4" x14ac:dyDescent="0.2">
      <c r="A293" s="43"/>
      <c r="B293" s="39"/>
      <c r="C293" s="39"/>
      <c r="D293" s="39"/>
    </row>
    <row r="294" spans="1:4" x14ac:dyDescent="0.2">
      <c r="A294" s="43"/>
      <c r="B294" s="39"/>
      <c r="C294" s="39"/>
      <c r="D294" s="39"/>
    </row>
    <row r="295" spans="1:4" x14ac:dyDescent="0.2">
      <c r="A295" s="43"/>
      <c r="B295" s="39"/>
      <c r="C295" s="39"/>
      <c r="D295" s="39"/>
    </row>
    <row r="296" spans="1:4" x14ac:dyDescent="0.2">
      <c r="A296" s="43"/>
      <c r="B296" s="39"/>
      <c r="C296" s="39"/>
      <c r="D296" s="39"/>
    </row>
    <row r="297" spans="1:4" x14ac:dyDescent="0.2">
      <c r="A297" s="43"/>
      <c r="B297" s="39"/>
      <c r="C297" s="39"/>
      <c r="D297" s="39"/>
    </row>
    <row r="298" spans="1:4" x14ac:dyDescent="0.2">
      <c r="A298" s="43"/>
      <c r="B298" s="39"/>
      <c r="C298" s="39"/>
      <c r="D298" s="39"/>
    </row>
    <row r="299" spans="1:4" x14ac:dyDescent="0.2">
      <c r="A299" s="43"/>
      <c r="B299" s="39"/>
      <c r="C299" s="39"/>
      <c r="D299" s="39"/>
    </row>
    <row r="300" spans="1:4" x14ac:dyDescent="0.2">
      <c r="A300" s="43"/>
      <c r="B300" s="39"/>
      <c r="C300" s="39"/>
      <c r="D300" s="39"/>
    </row>
    <row r="301" spans="1:4" x14ac:dyDescent="0.2">
      <c r="A301" s="43"/>
      <c r="B301" s="39"/>
      <c r="C301" s="39"/>
      <c r="D301" s="39"/>
    </row>
    <row r="302" spans="1:4" x14ac:dyDescent="0.2">
      <c r="A302" s="43"/>
      <c r="B302" s="39"/>
      <c r="C302" s="39"/>
      <c r="D302" s="39"/>
    </row>
    <row r="303" spans="1:4" x14ac:dyDescent="0.2">
      <c r="A303" s="43"/>
      <c r="B303" s="39"/>
      <c r="C303" s="39"/>
      <c r="D303" s="39"/>
    </row>
    <row r="304" spans="1:4" x14ac:dyDescent="0.2">
      <c r="A304" s="43"/>
      <c r="B304" s="39"/>
      <c r="C304" s="39"/>
      <c r="D304" s="39"/>
    </row>
    <row r="305" spans="1:4" x14ac:dyDescent="0.2">
      <c r="A305" s="43"/>
      <c r="B305" s="39"/>
      <c r="C305" s="39"/>
      <c r="D305" s="39"/>
    </row>
    <row r="306" spans="1:4" x14ac:dyDescent="0.2">
      <c r="A306" s="43"/>
      <c r="B306" s="39"/>
      <c r="C306" s="39"/>
      <c r="D306" s="39"/>
    </row>
    <row r="307" spans="1:4" x14ac:dyDescent="0.2">
      <c r="A307" s="43"/>
      <c r="B307" s="39"/>
      <c r="C307" s="39"/>
      <c r="D307" s="39"/>
    </row>
    <row r="308" spans="1:4" x14ac:dyDescent="0.2">
      <c r="A308" s="43"/>
      <c r="B308" s="39"/>
      <c r="C308" s="39"/>
      <c r="D308" s="39"/>
    </row>
    <row r="309" spans="1:4" x14ac:dyDescent="0.2">
      <c r="A309" s="43"/>
      <c r="B309" s="39"/>
      <c r="C309" s="39"/>
      <c r="D309" s="39"/>
    </row>
    <row r="310" spans="1:4" x14ac:dyDescent="0.2">
      <c r="A310" s="43"/>
      <c r="B310" s="39"/>
      <c r="C310" s="39"/>
      <c r="D310" s="39"/>
    </row>
    <row r="311" spans="1:4" x14ac:dyDescent="0.2">
      <c r="A311" s="43"/>
      <c r="B311" s="39"/>
      <c r="C311" s="39"/>
      <c r="D311" s="39"/>
    </row>
    <row r="312" spans="1:4" x14ac:dyDescent="0.2">
      <c r="A312" s="43"/>
      <c r="B312" s="39"/>
      <c r="C312" s="39"/>
      <c r="D312" s="39"/>
    </row>
    <row r="313" spans="1:4" x14ac:dyDescent="0.2">
      <c r="A313" s="43"/>
      <c r="B313" s="39"/>
      <c r="C313" s="39"/>
      <c r="D313" s="39"/>
    </row>
    <row r="314" spans="1:4" x14ac:dyDescent="0.2">
      <c r="A314" s="43"/>
      <c r="B314" s="39"/>
      <c r="C314" s="39"/>
      <c r="D314" s="39"/>
    </row>
    <row r="315" spans="1:4" x14ac:dyDescent="0.2">
      <c r="A315" s="43"/>
      <c r="B315" s="39"/>
      <c r="C315" s="39"/>
      <c r="D315" s="39"/>
    </row>
    <row r="316" spans="1:4" x14ac:dyDescent="0.2">
      <c r="A316" s="43"/>
      <c r="B316" s="39"/>
      <c r="C316" s="39"/>
      <c r="D316" s="39"/>
    </row>
    <row r="317" spans="1:4" x14ac:dyDescent="0.2">
      <c r="A317" s="43"/>
      <c r="B317" s="39"/>
      <c r="C317" s="39"/>
      <c r="D317" s="39"/>
    </row>
    <row r="318" spans="1:4" x14ac:dyDescent="0.2">
      <c r="A318" s="43"/>
      <c r="B318" s="39"/>
      <c r="C318" s="39"/>
      <c r="D318" s="39"/>
    </row>
    <row r="319" spans="1:4" x14ac:dyDescent="0.2">
      <c r="A319" s="43"/>
      <c r="B319" s="39"/>
      <c r="C319" s="39"/>
      <c r="D319" s="39"/>
    </row>
    <row r="320" spans="1:4" x14ac:dyDescent="0.2">
      <c r="A320" s="43"/>
      <c r="B320" s="39"/>
      <c r="C320" s="39"/>
      <c r="D320" s="39"/>
    </row>
    <row r="321" spans="1:4" x14ac:dyDescent="0.2">
      <c r="A321" s="43"/>
      <c r="B321" s="39"/>
      <c r="C321" s="39"/>
      <c r="D321" s="39"/>
    </row>
    <row r="322" spans="1:4" x14ac:dyDescent="0.2">
      <c r="A322" s="43"/>
      <c r="B322" s="39"/>
      <c r="C322" s="39"/>
      <c r="D322" s="39"/>
    </row>
    <row r="323" spans="1:4" x14ac:dyDescent="0.2">
      <c r="A323" s="43"/>
      <c r="B323" s="39"/>
      <c r="C323" s="39"/>
      <c r="D323" s="39"/>
    </row>
    <row r="324" spans="1:4" x14ac:dyDescent="0.2">
      <c r="A324" s="43"/>
      <c r="B324" s="39"/>
      <c r="C324" s="39"/>
      <c r="D324" s="39"/>
    </row>
    <row r="325" spans="1:4" x14ac:dyDescent="0.2">
      <c r="A325" s="43"/>
      <c r="B325" s="39"/>
      <c r="C325" s="39"/>
      <c r="D325" s="39"/>
    </row>
    <row r="326" spans="1:4" x14ac:dyDescent="0.2">
      <c r="A326" s="43"/>
      <c r="B326" s="39"/>
      <c r="C326" s="39"/>
      <c r="D326" s="39"/>
    </row>
    <row r="327" spans="1:4" x14ac:dyDescent="0.2">
      <c r="A327" s="43"/>
      <c r="B327" s="39"/>
      <c r="C327" s="39"/>
      <c r="D327" s="39"/>
    </row>
    <row r="328" spans="1:4" x14ac:dyDescent="0.2">
      <c r="A328" s="43"/>
      <c r="B328" s="39"/>
      <c r="C328" s="39"/>
      <c r="D328" s="39"/>
    </row>
    <row r="329" spans="1:4" x14ac:dyDescent="0.2">
      <c r="A329" s="43"/>
      <c r="B329" s="39"/>
      <c r="C329" s="39"/>
      <c r="D329" s="39"/>
    </row>
    <row r="330" spans="1:4" x14ac:dyDescent="0.2">
      <c r="A330" s="43"/>
      <c r="B330" s="39"/>
      <c r="C330" s="39"/>
      <c r="D330" s="39"/>
    </row>
    <row r="331" spans="1:4" x14ac:dyDescent="0.2">
      <c r="A331" s="43"/>
      <c r="B331" s="39"/>
      <c r="C331" s="39"/>
      <c r="D331" s="39"/>
    </row>
    <row r="332" spans="1:4" x14ac:dyDescent="0.2">
      <c r="A332" s="43"/>
      <c r="B332" s="39"/>
      <c r="C332" s="39"/>
      <c r="D332" s="39"/>
    </row>
    <row r="333" spans="1:4" x14ac:dyDescent="0.2">
      <c r="A333" s="43"/>
      <c r="B333" s="39"/>
      <c r="C333" s="39"/>
      <c r="D333" s="39"/>
    </row>
    <row r="334" spans="1:4" x14ac:dyDescent="0.2">
      <c r="A334" s="43"/>
      <c r="B334" s="39"/>
      <c r="C334" s="39"/>
      <c r="D334" s="39"/>
    </row>
    <row r="335" spans="1:4" x14ac:dyDescent="0.2">
      <c r="A335" s="43"/>
      <c r="B335" s="39"/>
      <c r="C335" s="39"/>
      <c r="D335" s="39"/>
    </row>
    <row r="336" spans="1:4" x14ac:dyDescent="0.2">
      <c r="A336" s="43"/>
      <c r="B336" s="39"/>
      <c r="C336" s="39"/>
      <c r="D336" s="39"/>
    </row>
    <row r="337" spans="1:4" x14ac:dyDescent="0.2">
      <c r="A337" s="43"/>
      <c r="B337" s="39"/>
      <c r="C337" s="39"/>
      <c r="D337" s="39"/>
    </row>
    <row r="338" spans="1:4" x14ac:dyDescent="0.2">
      <c r="A338" s="43"/>
      <c r="B338" s="39"/>
      <c r="C338" s="39"/>
      <c r="D338" s="39"/>
    </row>
    <row r="339" spans="1:4" x14ac:dyDescent="0.2">
      <c r="A339" s="43"/>
      <c r="B339" s="39"/>
      <c r="C339" s="39"/>
      <c r="D339" s="39"/>
    </row>
    <row r="340" spans="1:4" x14ac:dyDescent="0.2">
      <c r="A340" s="43"/>
      <c r="B340" s="39"/>
      <c r="C340" s="39"/>
      <c r="D340" s="39"/>
    </row>
    <row r="341" spans="1:4" x14ac:dyDescent="0.2">
      <c r="A341" s="43"/>
      <c r="B341" s="39"/>
      <c r="C341" s="39"/>
      <c r="D341" s="39"/>
    </row>
    <row r="342" spans="1:4" x14ac:dyDescent="0.2">
      <c r="A342" s="43"/>
      <c r="B342" s="39"/>
      <c r="C342" s="39"/>
      <c r="D342" s="39"/>
    </row>
    <row r="343" spans="1:4" x14ac:dyDescent="0.2">
      <c r="A343" s="43"/>
      <c r="B343" s="39"/>
      <c r="C343" s="39"/>
      <c r="D343" s="39"/>
    </row>
    <row r="344" spans="1:4" x14ac:dyDescent="0.2">
      <c r="A344" s="43"/>
      <c r="B344" s="39"/>
      <c r="C344" s="39"/>
      <c r="D344" s="39"/>
    </row>
    <row r="345" spans="1:4" x14ac:dyDescent="0.2">
      <c r="A345" s="43"/>
      <c r="B345" s="39"/>
      <c r="C345" s="39"/>
      <c r="D345" s="39"/>
    </row>
    <row r="346" spans="1:4" x14ac:dyDescent="0.2">
      <c r="A346" s="43"/>
      <c r="B346" s="39"/>
      <c r="C346" s="39"/>
      <c r="D346" s="39"/>
    </row>
    <row r="347" spans="1:4" x14ac:dyDescent="0.2">
      <c r="A347" s="43"/>
      <c r="B347" s="39"/>
      <c r="C347" s="39"/>
      <c r="D347" s="39"/>
    </row>
    <row r="348" spans="1:4" x14ac:dyDescent="0.2">
      <c r="A348" s="43"/>
      <c r="B348" s="39"/>
      <c r="C348" s="39"/>
      <c r="D348" s="39"/>
    </row>
    <row r="349" spans="1:4" x14ac:dyDescent="0.2">
      <c r="A349" s="43"/>
      <c r="B349" s="39"/>
      <c r="C349" s="39"/>
      <c r="D349" s="39"/>
    </row>
    <row r="350" spans="1:4" x14ac:dyDescent="0.2">
      <c r="A350" s="43"/>
      <c r="B350" s="39"/>
      <c r="C350" s="39"/>
      <c r="D350" s="39"/>
    </row>
    <row r="351" spans="1:4" x14ac:dyDescent="0.2">
      <c r="A351" s="43"/>
      <c r="B351" s="39"/>
      <c r="C351" s="39"/>
      <c r="D351" s="39"/>
    </row>
    <row r="352" spans="1:4" x14ac:dyDescent="0.2">
      <c r="A352" s="43"/>
      <c r="B352" s="39"/>
      <c r="C352" s="39"/>
      <c r="D352" s="39"/>
    </row>
    <row r="353" spans="1:4" x14ac:dyDescent="0.2">
      <c r="A353" s="43"/>
      <c r="B353" s="39"/>
      <c r="C353" s="39"/>
      <c r="D353" s="39"/>
    </row>
    <row r="354" spans="1:4" x14ac:dyDescent="0.2">
      <c r="A354" s="43"/>
      <c r="B354" s="39"/>
      <c r="C354" s="39"/>
      <c r="D354" s="39"/>
    </row>
    <row r="355" spans="1:4" x14ac:dyDescent="0.2">
      <c r="A355" s="43"/>
      <c r="B355" s="39"/>
      <c r="C355" s="39"/>
      <c r="D355" s="39"/>
    </row>
    <row r="356" spans="1:4" x14ac:dyDescent="0.2">
      <c r="A356" s="43"/>
      <c r="B356" s="39"/>
      <c r="C356" s="39"/>
      <c r="D356" s="39"/>
    </row>
    <row r="357" spans="1:4" x14ac:dyDescent="0.2">
      <c r="A357" s="43"/>
      <c r="B357" s="39"/>
      <c r="C357" s="39"/>
      <c r="D357" s="39"/>
    </row>
    <row r="358" spans="1:4" x14ac:dyDescent="0.2">
      <c r="A358" s="43"/>
      <c r="B358" s="39"/>
      <c r="C358" s="39"/>
      <c r="D358" s="39"/>
    </row>
    <row r="359" spans="1:4" x14ac:dyDescent="0.2">
      <c r="A359" s="43"/>
      <c r="B359" s="39"/>
      <c r="C359" s="39"/>
      <c r="D359" s="39"/>
    </row>
    <row r="360" spans="1:4" x14ac:dyDescent="0.2">
      <c r="A360" s="43"/>
      <c r="B360" s="39"/>
      <c r="C360" s="39"/>
      <c r="D360" s="39"/>
    </row>
    <row r="361" spans="1:4" x14ac:dyDescent="0.2">
      <c r="A361" s="43"/>
      <c r="B361" s="39"/>
      <c r="C361" s="39"/>
      <c r="D361" s="39"/>
    </row>
    <row r="362" spans="1:4" x14ac:dyDescent="0.2">
      <c r="A362" s="43"/>
      <c r="B362" s="39"/>
      <c r="C362" s="39"/>
      <c r="D362" s="39"/>
    </row>
    <row r="363" spans="1:4" x14ac:dyDescent="0.2">
      <c r="A363" s="43"/>
      <c r="B363" s="39"/>
      <c r="C363" s="39"/>
      <c r="D363" s="39"/>
    </row>
    <row r="364" spans="1:4" x14ac:dyDescent="0.2">
      <c r="A364" s="43"/>
      <c r="B364" s="39"/>
      <c r="C364" s="39"/>
      <c r="D364" s="39"/>
    </row>
    <row r="365" spans="1:4" x14ac:dyDescent="0.2">
      <c r="A365" s="43"/>
      <c r="B365" s="39"/>
      <c r="C365" s="39"/>
      <c r="D365" s="39"/>
    </row>
    <row r="366" spans="1:4" x14ac:dyDescent="0.2">
      <c r="A366" s="43"/>
      <c r="B366" s="39"/>
      <c r="C366" s="39"/>
      <c r="D366" s="39"/>
    </row>
    <row r="367" spans="1:4" x14ac:dyDescent="0.2">
      <c r="A367" s="43"/>
      <c r="B367" s="39"/>
      <c r="C367" s="39"/>
      <c r="D367" s="39"/>
    </row>
    <row r="368" spans="1:4" x14ac:dyDescent="0.2">
      <c r="A368" s="43"/>
      <c r="B368" s="39"/>
      <c r="C368" s="39"/>
      <c r="D368" s="39"/>
    </row>
    <row r="369" spans="1:4" x14ac:dyDescent="0.2">
      <c r="A369" s="43"/>
      <c r="B369" s="39"/>
      <c r="C369" s="39"/>
      <c r="D369" s="39"/>
    </row>
    <row r="370" spans="1:4" x14ac:dyDescent="0.2">
      <c r="A370" s="43"/>
      <c r="B370" s="39"/>
      <c r="C370" s="39"/>
      <c r="D370" s="39"/>
    </row>
    <row r="371" spans="1:4" x14ac:dyDescent="0.2">
      <c r="A371" s="43"/>
      <c r="B371" s="39"/>
      <c r="C371" s="39"/>
      <c r="D371" s="39"/>
    </row>
    <row r="372" spans="1:4" x14ac:dyDescent="0.2">
      <c r="A372" s="43"/>
      <c r="B372" s="39"/>
      <c r="C372" s="39"/>
      <c r="D372" s="39"/>
    </row>
    <row r="373" spans="1:4" x14ac:dyDescent="0.2">
      <c r="A373" s="43"/>
      <c r="B373" s="39"/>
      <c r="C373" s="39"/>
      <c r="D373" s="39"/>
    </row>
    <row r="374" spans="1:4" x14ac:dyDescent="0.2">
      <c r="A374" s="43"/>
      <c r="B374" s="39"/>
      <c r="C374" s="39"/>
      <c r="D374" s="39"/>
    </row>
    <row r="375" spans="1:4" x14ac:dyDescent="0.2">
      <c r="A375" s="43"/>
      <c r="B375" s="39"/>
      <c r="C375" s="39"/>
      <c r="D375" s="39"/>
    </row>
    <row r="376" spans="1:4" x14ac:dyDescent="0.2">
      <c r="A376" s="43"/>
      <c r="B376" s="39"/>
      <c r="C376" s="39"/>
      <c r="D376" s="39"/>
    </row>
    <row r="377" spans="1:4" x14ac:dyDescent="0.2">
      <c r="A377" s="43"/>
      <c r="B377" s="39"/>
      <c r="C377" s="39"/>
      <c r="D377" s="39"/>
    </row>
    <row r="378" spans="1:4" x14ac:dyDescent="0.2">
      <c r="A378" s="43"/>
      <c r="B378" s="39"/>
      <c r="C378" s="39"/>
      <c r="D378" s="39"/>
    </row>
    <row r="379" spans="1:4" x14ac:dyDescent="0.2">
      <c r="A379" s="43"/>
      <c r="B379" s="39"/>
      <c r="C379" s="39"/>
      <c r="D379" s="39"/>
    </row>
    <row r="380" spans="1:4" x14ac:dyDescent="0.2">
      <c r="A380" s="43"/>
      <c r="B380" s="39"/>
      <c r="C380" s="39"/>
      <c r="D380" s="39"/>
    </row>
    <row r="381" spans="1:4" x14ac:dyDescent="0.2">
      <c r="A381" s="43"/>
      <c r="B381" s="39"/>
      <c r="C381" s="39"/>
      <c r="D381" s="39"/>
    </row>
    <row r="382" spans="1:4" x14ac:dyDescent="0.2">
      <c r="A382" s="43"/>
      <c r="B382" s="39"/>
      <c r="C382" s="39"/>
      <c r="D382" s="39"/>
    </row>
    <row r="383" spans="1:4" x14ac:dyDescent="0.2">
      <c r="A383" s="43"/>
      <c r="B383" s="39"/>
      <c r="C383" s="39"/>
      <c r="D383" s="39"/>
    </row>
    <row r="384" spans="1:4" x14ac:dyDescent="0.2">
      <c r="A384" s="43"/>
      <c r="B384" s="39"/>
      <c r="C384" s="39"/>
      <c r="D384" s="39"/>
    </row>
    <row r="385" spans="1:4" x14ac:dyDescent="0.2">
      <c r="A385" s="43"/>
      <c r="B385" s="39"/>
      <c r="C385" s="39"/>
      <c r="D385" s="39"/>
    </row>
    <row r="386" spans="1:4" x14ac:dyDescent="0.2">
      <c r="A386" s="43"/>
      <c r="B386" s="39"/>
      <c r="C386" s="39"/>
      <c r="D386" s="39"/>
    </row>
    <row r="387" spans="1:4" x14ac:dyDescent="0.2">
      <c r="A387" s="43"/>
      <c r="B387" s="39"/>
      <c r="C387" s="39"/>
      <c r="D387" s="39"/>
    </row>
    <row r="388" spans="1:4" x14ac:dyDescent="0.2">
      <c r="A388" s="43"/>
      <c r="B388" s="39"/>
      <c r="C388" s="39"/>
      <c r="D388" s="39"/>
    </row>
    <row r="389" spans="1:4" x14ac:dyDescent="0.2">
      <c r="A389" s="43"/>
      <c r="B389" s="39"/>
      <c r="C389" s="39"/>
      <c r="D389" s="39"/>
    </row>
    <row r="390" spans="1:4" x14ac:dyDescent="0.2">
      <c r="A390" s="43"/>
      <c r="B390" s="39"/>
      <c r="C390" s="39"/>
      <c r="D390" s="39"/>
    </row>
    <row r="391" spans="1:4" x14ac:dyDescent="0.2">
      <c r="A391" s="43"/>
      <c r="B391" s="39"/>
      <c r="C391" s="39"/>
      <c r="D391" s="39"/>
    </row>
    <row r="392" spans="1:4" x14ac:dyDescent="0.2">
      <c r="A392" s="43"/>
      <c r="B392" s="39"/>
      <c r="C392" s="39"/>
      <c r="D392" s="39"/>
    </row>
    <row r="393" spans="1:4" x14ac:dyDescent="0.2">
      <c r="A393" s="43"/>
      <c r="B393" s="39"/>
      <c r="C393" s="39"/>
      <c r="D393" s="39"/>
    </row>
    <row r="394" spans="1:4" x14ac:dyDescent="0.2">
      <c r="A394" s="43"/>
      <c r="B394" s="39"/>
      <c r="C394" s="39"/>
      <c r="D394" s="39"/>
    </row>
    <row r="395" spans="1:4" x14ac:dyDescent="0.2">
      <c r="A395" s="43"/>
      <c r="B395" s="39"/>
      <c r="C395" s="39"/>
      <c r="D395" s="39"/>
    </row>
    <row r="396" spans="1:4" x14ac:dyDescent="0.2">
      <c r="A396" s="43"/>
      <c r="B396" s="39"/>
      <c r="C396" s="39"/>
      <c r="D396" s="39"/>
    </row>
    <row r="397" spans="1:4" x14ac:dyDescent="0.2">
      <c r="A397" s="43"/>
      <c r="B397" s="39"/>
      <c r="C397" s="39"/>
      <c r="D397" s="39"/>
    </row>
    <row r="398" spans="1:4" x14ac:dyDescent="0.2">
      <c r="A398" s="43"/>
      <c r="B398" s="39"/>
      <c r="C398" s="39"/>
      <c r="D398" s="39"/>
    </row>
    <row r="399" spans="1:4" x14ac:dyDescent="0.2">
      <c r="A399" s="43"/>
      <c r="B399" s="39"/>
      <c r="C399" s="39"/>
      <c r="D399" s="39"/>
    </row>
    <row r="400" spans="1:4" x14ac:dyDescent="0.2">
      <c r="A400" s="43"/>
      <c r="B400" s="39"/>
      <c r="C400" s="39"/>
      <c r="D400" s="39"/>
    </row>
    <row r="401" spans="1:4" x14ac:dyDescent="0.2">
      <c r="A401" s="43"/>
      <c r="B401" s="39"/>
      <c r="C401" s="39"/>
      <c r="D401" s="39"/>
    </row>
    <row r="402" spans="1:4" x14ac:dyDescent="0.2">
      <c r="A402" s="43"/>
      <c r="B402" s="39"/>
      <c r="C402" s="39"/>
      <c r="D402" s="39"/>
    </row>
    <row r="403" spans="1:4" x14ac:dyDescent="0.2">
      <c r="A403" s="43"/>
      <c r="B403" s="39"/>
      <c r="C403" s="39"/>
      <c r="D403" s="39"/>
    </row>
    <row r="404" spans="1:4" x14ac:dyDescent="0.2">
      <c r="A404" s="43"/>
      <c r="B404" s="39"/>
      <c r="C404" s="39"/>
      <c r="D404" s="39"/>
    </row>
    <row r="405" spans="1:4" x14ac:dyDescent="0.2">
      <c r="A405" s="43"/>
      <c r="B405" s="39"/>
      <c r="C405" s="39"/>
      <c r="D405" s="39"/>
    </row>
    <row r="406" spans="1:4" x14ac:dyDescent="0.2">
      <c r="A406" s="43"/>
      <c r="B406" s="39"/>
      <c r="C406" s="39"/>
      <c r="D406" s="39"/>
    </row>
    <row r="407" spans="1:4" x14ac:dyDescent="0.2">
      <c r="A407" s="43"/>
      <c r="B407" s="39"/>
      <c r="C407" s="39"/>
      <c r="D407" s="39"/>
    </row>
    <row r="408" spans="1:4" x14ac:dyDescent="0.2">
      <c r="A408" s="43"/>
      <c r="B408" s="39"/>
      <c r="C408" s="39"/>
      <c r="D408" s="39"/>
    </row>
    <row r="409" spans="1:4" x14ac:dyDescent="0.2">
      <c r="A409" s="43"/>
      <c r="B409" s="39"/>
      <c r="C409" s="39"/>
      <c r="D409" s="39"/>
    </row>
    <row r="410" spans="1:4" x14ac:dyDescent="0.2">
      <c r="A410" s="43"/>
      <c r="B410" s="39"/>
      <c r="C410" s="39"/>
      <c r="D410" s="39"/>
    </row>
    <row r="411" spans="1:4" x14ac:dyDescent="0.2">
      <c r="A411" s="43"/>
      <c r="B411" s="39"/>
      <c r="C411" s="39"/>
      <c r="D411" s="39"/>
    </row>
    <row r="412" spans="1:4" x14ac:dyDescent="0.2">
      <c r="A412" s="43"/>
      <c r="B412" s="39"/>
      <c r="C412" s="39"/>
      <c r="D412" s="39"/>
    </row>
    <row r="413" spans="1:4" x14ac:dyDescent="0.2">
      <c r="A413" s="43"/>
      <c r="B413" s="39"/>
      <c r="C413" s="39"/>
      <c r="D413" s="39"/>
    </row>
    <row r="414" spans="1:4" x14ac:dyDescent="0.2">
      <c r="A414" s="43"/>
      <c r="B414" s="39"/>
      <c r="C414" s="39"/>
      <c r="D414" s="39"/>
    </row>
    <row r="415" spans="1:4" x14ac:dyDescent="0.2">
      <c r="A415" s="43"/>
      <c r="B415" s="39"/>
      <c r="C415" s="39"/>
      <c r="D415" s="39"/>
    </row>
    <row r="416" spans="1:4" x14ac:dyDescent="0.2">
      <c r="A416" s="43"/>
      <c r="B416" s="39"/>
      <c r="C416" s="39"/>
      <c r="D416" s="39"/>
    </row>
    <row r="417" spans="1:4" x14ac:dyDescent="0.2">
      <c r="A417" s="43"/>
      <c r="B417" s="39"/>
      <c r="C417" s="39"/>
      <c r="D417" s="39"/>
    </row>
    <row r="418" spans="1:4" x14ac:dyDescent="0.2">
      <c r="A418" s="43"/>
      <c r="B418" s="39"/>
      <c r="C418" s="39"/>
      <c r="D418" s="39"/>
    </row>
    <row r="419" spans="1:4" x14ac:dyDescent="0.2">
      <c r="A419" s="43"/>
      <c r="B419" s="39"/>
      <c r="C419" s="39"/>
      <c r="D419" s="39"/>
    </row>
    <row r="420" spans="1:4" x14ac:dyDescent="0.2">
      <c r="A420" s="43"/>
      <c r="B420" s="39"/>
      <c r="C420" s="39"/>
      <c r="D420" s="39"/>
    </row>
    <row r="421" spans="1:4" x14ac:dyDescent="0.2">
      <c r="A421" s="43"/>
      <c r="B421" s="39"/>
      <c r="C421" s="39"/>
      <c r="D421" s="39"/>
    </row>
    <row r="422" spans="1:4" x14ac:dyDescent="0.2">
      <c r="A422" s="43"/>
      <c r="B422" s="39"/>
      <c r="C422" s="39"/>
      <c r="D422" s="39"/>
    </row>
    <row r="423" spans="1:4" x14ac:dyDescent="0.2">
      <c r="A423" s="43"/>
      <c r="B423" s="39"/>
      <c r="C423" s="39"/>
      <c r="D423" s="39"/>
    </row>
    <row r="424" spans="1:4" x14ac:dyDescent="0.2">
      <c r="A424" s="43"/>
      <c r="B424" s="39"/>
      <c r="C424" s="39"/>
      <c r="D424" s="39"/>
    </row>
    <row r="425" spans="1:4" x14ac:dyDescent="0.2">
      <c r="A425" s="43"/>
      <c r="B425" s="39"/>
      <c r="C425" s="39"/>
      <c r="D425" s="39"/>
    </row>
    <row r="426" spans="1:4" x14ac:dyDescent="0.2">
      <c r="A426" s="43"/>
      <c r="B426" s="39"/>
      <c r="C426" s="39"/>
      <c r="D426" s="39"/>
    </row>
    <row r="427" spans="1:4" x14ac:dyDescent="0.2">
      <c r="A427" s="43"/>
      <c r="B427" s="39"/>
      <c r="C427" s="39"/>
      <c r="D427" s="39"/>
    </row>
    <row r="428" spans="1:4" x14ac:dyDescent="0.2">
      <c r="A428" s="43"/>
      <c r="B428" s="39"/>
      <c r="C428" s="39"/>
      <c r="D428" s="39"/>
    </row>
    <row r="429" spans="1:4" x14ac:dyDescent="0.2">
      <c r="A429" s="43"/>
      <c r="B429" s="39"/>
      <c r="C429" s="39"/>
      <c r="D429" s="39"/>
    </row>
  </sheetData>
  <sortState xmlns:xlrd2="http://schemas.microsoft.com/office/spreadsheetml/2017/richdata2" ref="A3:D44">
    <sortCondition ref="A3:A44"/>
  </sortState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C782-AA9E-49B1-AAD4-E0D3215971DE}">
  <sheetPr codeName="Hoja13">
    <tabColor rgb="FFDCE2EB"/>
  </sheetPr>
  <dimension ref="A1:D429"/>
  <sheetViews>
    <sheetView showGridLines="0" zoomScaleNormal="100" workbookViewId="0">
      <pane ySplit="2" topLeftCell="A3" activePane="bottomLeft" state="frozen"/>
      <selection sqref="A1:E1"/>
      <selection pane="bottomLeft" activeCell="A3" sqref="A3"/>
    </sheetView>
  </sheetViews>
  <sheetFormatPr defaultColWidth="8.7109375" defaultRowHeight="12" x14ac:dyDescent="0.2"/>
  <cols>
    <col min="1" max="1" width="11.5703125" style="42" bestFit="1" customWidth="1"/>
    <col min="2" max="2" width="10.140625" style="15" bestFit="1" customWidth="1"/>
    <col min="3" max="3" width="8.7109375" style="15" bestFit="1" customWidth="1"/>
    <col min="4" max="4" width="10.42578125" style="15" bestFit="1" customWidth="1"/>
    <col min="5" max="16384" width="8.7109375" style="15"/>
  </cols>
  <sheetData>
    <row r="1" spans="1:4" ht="24" customHeight="1" x14ac:dyDescent="0.2">
      <c r="A1" s="104" t="s">
        <v>200</v>
      </c>
      <c r="B1" s="104"/>
      <c r="C1" s="104"/>
      <c r="D1" s="104"/>
    </row>
    <row r="2" spans="1:4" ht="27.95" customHeight="1" x14ac:dyDescent="0.2">
      <c r="A2" s="18" t="s">
        <v>21</v>
      </c>
      <c r="B2" s="18" t="s">
        <v>24</v>
      </c>
      <c r="C2" s="18" t="s">
        <v>26</v>
      </c>
      <c r="D2" s="18" t="s">
        <v>198</v>
      </c>
    </row>
    <row r="3" spans="1:4" x14ac:dyDescent="0.2">
      <c r="A3" s="29">
        <v>45870</v>
      </c>
      <c r="B3" s="50">
        <v>74.599999999999994</v>
      </c>
      <c r="C3" s="10">
        <v>0</v>
      </c>
      <c r="D3" s="10">
        <v>0</v>
      </c>
    </row>
    <row r="4" spans="1:4" x14ac:dyDescent="0.2">
      <c r="A4" s="31">
        <v>45874</v>
      </c>
      <c r="B4" s="36">
        <v>-59.57</v>
      </c>
      <c r="C4" s="52">
        <v>147.72999999999999</v>
      </c>
      <c r="D4" s="33">
        <v>0</v>
      </c>
    </row>
    <row r="5" spans="1:4" x14ac:dyDescent="0.2">
      <c r="A5" s="29">
        <v>45877</v>
      </c>
      <c r="B5" s="50">
        <v>679.34</v>
      </c>
      <c r="C5" s="50">
        <v>43.76</v>
      </c>
      <c r="D5" s="10">
        <v>0</v>
      </c>
    </row>
    <row r="6" spans="1:4" x14ac:dyDescent="0.2">
      <c r="A6" s="31">
        <v>45881</v>
      </c>
      <c r="B6" s="52">
        <v>629.95000000000005</v>
      </c>
      <c r="C6" s="52">
        <v>8.48</v>
      </c>
      <c r="D6" s="33">
        <v>0</v>
      </c>
    </row>
    <row r="7" spans="1:4" x14ac:dyDescent="0.2">
      <c r="A7" s="29">
        <v>45882</v>
      </c>
      <c r="B7" s="50">
        <v>610.44000000000005</v>
      </c>
      <c r="C7" s="50">
        <v>0.88</v>
      </c>
      <c r="D7" s="10">
        <v>0</v>
      </c>
    </row>
    <row r="8" spans="1:4" x14ac:dyDescent="0.2">
      <c r="A8" s="31">
        <v>45887</v>
      </c>
      <c r="B8" s="52">
        <v>25263.02</v>
      </c>
      <c r="C8" s="52">
        <v>0.88</v>
      </c>
      <c r="D8" s="33">
        <v>0</v>
      </c>
    </row>
    <row r="9" spans="1:4" x14ac:dyDescent="0.2">
      <c r="A9" s="29">
        <v>45897</v>
      </c>
      <c r="B9" s="50">
        <v>1133920.54</v>
      </c>
      <c r="C9" s="50">
        <v>0.88</v>
      </c>
      <c r="D9" s="10">
        <v>0</v>
      </c>
    </row>
    <row r="10" spans="1:4" x14ac:dyDescent="0.2">
      <c r="A10" s="31">
        <v>45898</v>
      </c>
      <c r="B10" s="52">
        <v>1133920.54</v>
      </c>
      <c r="C10" s="52">
        <v>0.88</v>
      </c>
      <c r="D10" s="33">
        <v>0</v>
      </c>
    </row>
    <row r="11" spans="1:4" x14ac:dyDescent="0.2">
      <c r="A11" s="29">
        <v>45930</v>
      </c>
      <c r="B11" s="50">
        <v>36.869999999999997</v>
      </c>
      <c r="C11" s="50">
        <v>0.88</v>
      </c>
      <c r="D11" s="50">
        <v>0.62</v>
      </c>
    </row>
    <row r="12" spans="1:4" x14ac:dyDescent="0.2">
      <c r="A12" s="31">
        <v>45961</v>
      </c>
      <c r="B12" s="52">
        <v>78.099999999999994</v>
      </c>
      <c r="C12" s="52">
        <v>0.88</v>
      </c>
      <c r="D12" s="52">
        <v>0.65</v>
      </c>
    </row>
    <row r="13" spans="1:4" x14ac:dyDescent="0.2">
      <c r="A13" s="29">
        <v>45989</v>
      </c>
      <c r="B13" s="50">
        <v>120.17</v>
      </c>
      <c r="C13" s="50">
        <v>0.88</v>
      </c>
      <c r="D13" s="50">
        <v>0.68</v>
      </c>
    </row>
    <row r="14" spans="1:4" x14ac:dyDescent="0.2">
      <c r="A14" s="31">
        <v>46021</v>
      </c>
      <c r="B14" s="52">
        <v>162.13</v>
      </c>
      <c r="C14" s="52">
        <v>0.88</v>
      </c>
      <c r="D14" s="52">
        <v>0.89</v>
      </c>
    </row>
    <row r="15" spans="1:4" x14ac:dyDescent="0.2">
      <c r="A15" s="29">
        <v>46041</v>
      </c>
      <c r="B15" s="50">
        <v>5241.8999999999996</v>
      </c>
      <c r="C15" s="50">
        <v>6.76</v>
      </c>
      <c r="D15" s="10">
        <v>0</v>
      </c>
    </row>
    <row r="16" spans="1:4" x14ac:dyDescent="0.2">
      <c r="A16" s="31">
        <v>46043</v>
      </c>
      <c r="B16" s="52">
        <v>62061.23</v>
      </c>
      <c r="C16" s="52">
        <v>6.76</v>
      </c>
      <c r="D16" s="33">
        <v>0</v>
      </c>
    </row>
    <row r="17" spans="1:4" x14ac:dyDescent="0.2">
      <c r="A17" s="29">
        <v>46052</v>
      </c>
      <c r="B17" s="10">
        <v>0</v>
      </c>
      <c r="C17" s="50">
        <v>6.76</v>
      </c>
      <c r="D17" s="10">
        <v>0</v>
      </c>
    </row>
    <row r="18" spans="1:4" x14ac:dyDescent="0.2">
      <c r="A18" s="31">
        <v>46080</v>
      </c>
      <c r="B18" s="52">
        <v>45.4</v>
      </c>
      <c r="C18" s="52">
        <v>6.76</v>
      </c>
      <c r="D18" s="52">
        <v>0.03</v>
      </c>
    </row>
    <row r="19" spans="1:4" x14ac:dyDescent="0.2">
      <c r="A19" s="29">
        <v>46111</v>
      </c>
      <c r="B19" s="50">
        <v>1575.68</v>
      </c>
      <c r="C19" s="50">
        <v>10006.76</v>
      </c>
      <c r="D19" s="50">
        <v>4680.68</v>
      </c>
    </row>
    <row r="20" spans="1:4" x14ac:dyDescent="0.2">
      <c r="A20" s="31">
        <v>46112</v>
      </c>
      <c r="B20" s="52">
        <v>1479.17</v>
      </c>
      <c r="C20" s="52">
        <v>8594.67</v>
      </c>
      <c r="D20" s="52">
        <v>6030.14</v>
      </c>
    </row>
    <row r="21" spans="1:4" x14ac:dyDescent="0.2">
      <c r="A21" s="29">
        <v>46113</v>
      </c>
      <c r="B21" s="13">
        <v>-936.37</v>
      </c>
      <c r="C21" s="50">
        <v>7533.09</v>
      </c>
      <c r="D21" s="50">
        <v>0.14000000000000001</v>
      </c>
    </row>
    <row r="22" spans="1:4" x14ac:dyDescent="0.2">
      <c r="A22" s="31">
        <v>46118</v>
      </c>
      <c r="B22" s="36">
        <v>-936.37</v>
      </c>
      <c r="C22" s="52">
        <v>7533.09</v>
      </c>
      <c r="D22" s="52">
        <v>0.14000000000000001</v>
      </c>
    </row>
    <row r="23" spans="1:4" x14ac:dyDescent="0.2">
      <c r="A23" s="29">
        <v>46119</v>
      </c>
      <c r="B23" s="13">
        <v>-936.37</v>
      </c>
      <c r="C23" s="50">
        <v>7533.09</v>
      </c>
      <c r="D23" s="50">
        <v>0.14000000000000001</v>
      </c>
    </row>
    <row r="24" spans="1:4" x14ac:dyDescent="0.2">
      <c r="A24" s="31">
        <v>46120</v>
      </c>
      <c r="B24" s="36">
        <v>-936.37</v>
      </c>
      <c r="C24" s="52">
        <v>7533.09</v>
      </c>
      <c r="D24" s="52">
        <v>0.14000000000000001</v>
      </c>
    </row>
    <row r="25" spans="1:4" x14ac:dyDescent="0.2">
      <c r="A25" s="29">
        <v>46121</v>
      </c>
      <c r="B25" s="13">
        <v>-936.37</v>
      </c>
      <c r="C25" s="50">
        <v>7533.09</v>
      </c>
      <c r="D25" s="50">
        <v>0.14000000000000001</v>
      </c>
    </row>
    <row r="26" spans="1:4" x14ac:dyDescent="0.2">
      <c r="A26" s="31">
        <v>46122</v>
      </c>
      <c r="B26" s="52">
        <v>958.38</v>
      </c>
      <c r="C26" s="52">
        <v>7486.72</v>
      </c>
      <c r="D26" s="52">
        <v>0.14000000000000001</v>
      </c>
    </row>
    <row r="27" spans="1:4" x14ac:dyDescent="0.2">
      <c r="A27" s="29">
        <v>46125</v>
      </c>
      <c r="B27" s="50">
        <v>958.38</v>
      </c>
      <c r="C27" s="50">
        <v>7486.72</v>
      </c>
      <c r="D27" s="50">
        <v>0.14000000000000001</v>
      </c>
    </row>
    <row r="28" spans="1:4" x14ac:dyDescent="0.2">
      <c r="A28" s="31">
        <v>46126</v>
      </c>
      <c r="B28" s="36">
        <v>-126.85</v>
      </c>
      <c r="C28" s="52">
        <v>4999.5</v>
      </c>
      <c r="D28" s="52">
        <v>0.14000000000000001</v>
      </c>
    </row>
    <row r="29" spans="1:4" x14ac:dyDescent="0.2">
      <c r="A29" s="29">
        <v>46127</v>
      </c>
      <c r="B29" s="50">
        <v>921.41</v>
      </c>
      <c r="C29" s="50">
        <v>4999.5</v>
      </c>
      <c r="D29" s="50">
        <v>0.14000000000000001</v>
      </c>
    </row>
    <row r="30" spans="1:4" x14ac:dyDescent="0.2">
      <c r="A30" s="31">
        <v>46128</v>
      </c>
      <c r="B30" s="52">
        <v>921.41</v>
      </c>
      <c r="C30" s="52">
        <v>4999.5</v>
      </c>
      <c r="D30" s="52">
        <v>0.14000000000000001</v>
      </c>
    </row>
    <row r="31" spans="1:4" x14ac:dyDescent="0.2">
      <c r="A31" s="29">
        <v>46129</v>
      </c>
      <c r="B31" s="50">
        <v>921.41</v>
      </c>
      <c r="C31" s="50">
        <v>4999.5</v>
      </c>
      <c r="D31" s="50">
        <v>0.14000000000000001</v>
      </c>
    </row>
    <row r="32" spans="1:4" x14ac:dyDescent="0.2">
      <c r="A32" s="31">
        <v>46132</v>
      </c>
      <c r="B32" s="52">
        <v>921.41</v>
      </c>
      <c r="C32" s="52">
        <v>4999.5</v>
      </c>
      <c r="D32" s="52">
        <v>0.14000000000000001</v>
      </c>
    </row>
    <row r="33" spans="1:4" x14ac:dyDescent="0.2">
      <c r="A33" s="29">
        <v>46133</v>
      </c>
      <c r="B33" s="50">
        <v>921.41</v>
      </c>
      <c r="C33" s="50">
        <v>4999.5</v>
      </c>
      <c r="D33" s="50">
        <v>0.14000000000000001</v>
      </c>
    </row>
    <row r="34" spans="1:4" x14ac:dyDescent="0.2">
      <c r="A34" s="31">
        <v>46134</v>
      </c>
      <c r="B34" s="52">
        <v>921.41</v>
      </c>
      <c r="C34" s="52">
        <v>4999.5</v>
      </c>
      <c r="D34" s="52">
        <v>0.14000000000000001</v>
      </c>
    </row>
    <row r="35" spans="1:4" x14ac:dyDescent="0.2">
      <c r="A35" s="29">
        <v>46135</v>
      </c>
      <c r="B35" s="50">
        <v>921.41</v>
      </c>
      <c r="C35" s="50">
        <v>4999.5</v>
      </c>
      <c r="D35" s="50">
        <v>0.14000000000000001</v>
      </c>
    </row>
    <row r="36" spans="1:4" x14ac:dyDescent="0.2">
      <c r="A36" s="31">
        <v>46136</v>
      </c>
      <c r="B36" s="52">
        <v>921.41</v>
      </c>
      <c r="C36" s="52">
        <v>4999.5</v>
      </c>
      <c r="D36" s="52">
        <v>0.14000000000000001</v>
      </c>
    </row>
    <row r="37" spans="1:4" x14ac:dyDescent="0.2">
      <c r="A37" s="29">
        <v>46139</v>
      </c>
      <c r="B37" s="50">
        <v>921.41</v>
      </c>
      <c r="C37" s="50">
        <v>4999.5</v>
      </c>
      <c r="D37" s="50">
        <v>0.14000000000000001</v>
      </c>
    </row>
    <row r="38" spans="1:4" x14ac:dyDescent="0.2">
      <c r="A38" s="31">
        <v>46140</v>
      </c>
      <c r="B38" s="52">
        <v>921.41</v>
      </c>
      <c r="C38" s="52">
        <v>4999.5</v>
      </c>
      <c r="D38" s="52">
        <v>0.14000000000000001</v>
      </c>
    </row>
    <row r="39" spans="1:4" x14ac:dyDescent="0.2">
      <c r="A39" s="29">
        <v>46141</v>
      </c>
      <c r="B39" s="50">
        <v>921.41</v>
      </c>
      <c r="C39" s="50">
        <v>4999.5</v>
      </c>
      <c r="D39" s="50">
        <v>0.14000000000000001</v>
      </c>
    </row>
    <row r="40" spans="1:4" x14ac:dyDescent="0.2">
      <c r="A40" s="31">
        <v>46142</v>
      </c>
      <c r="B40" s="52">
        <v>921.41</v>
      </c>
      <c r="C40" s="52">
        <v>4999.5</v>
      </c>
      <c r="D40" s="52">
        <v>0.14000000000000001</v>
      </c>
    </row>
    <row r="41" spans="1:4" x14ac:dyDescent="0.2">
      <c r="A41" s="29">
        <v>46146</v>
      </c>
      <c r="B41" s="50">
        <v>921.41</v>
      </c>
      <c r="C41" s="50">
        <v>4999.5</v>
      </c>
      <c r="D41" s="50">
        <v>0.14000000000000001</v>
      </c>
    </row>
    <row r="42" spans="1:4" x14ac:dyDescent="0.2">
      <c r="A42" s="31">
        <v>46147</v>
      </c>
      <c r="B42" s="52">
        <v>921.41</v>
      </c>
      <c r="C42" s="52">
        <v>4999.5</v>
      </c>
      <c r="D42" s="52">
        <v>0.14000000000000001</v>
      </c>
    </row>
    <row r="43" spans="1:4" x14ac:dyDescent="0.2">
      <c r="A43" s="29">
        <v>46148</v>
      </c>
      <c r="B43" s="50">
        <v>921.41</v>
      </c>
      <c r="C43" s="50">
        <v>6997.37</v>
      </c>
      <c r="D43" s="50">
        <v>0.14000000000000001</v>
      </c>
    </row>
    <row r="44" spans="1:4" x14ac:dyDescent="0.2">
      <c r="A44" s="31">
        <v>46149</v>
      </c>
      <c r="B44" s="36">
        <v>-70.599999999999994</v>
      </c>
      <c r="C44" s="52">
        <v>1467.78</v>
      </c>
      <c r="D44" s="52">
        <v>0.14000000000000001</v>
      </c>
    </row>
    <row r="45" spans="1:4" ht="15" x14ac:dyDescent="0.25">
      <c r="A45"/>
      <c r="B45"/>
      <c r="C45"/>
      <c r="D45"/>
    </row>
    <row r="46" spans="1:4" ht="15" x14ac:dyDescent="0.25">
      <c r="A46"/>
      <c r="B46"/>
      <c r="C46"/>
      <c r="D46"/>
    </row>
    <row r="47" spans="1:4" ht="15" x14ac:dyDescent="0.25">
      <c r="A47"/>
      <c r="B47"/>
      <c r="C47"/>
      <c r="D47"/>
    </row>
    <row r="48" spans="1:4" ht="15" x14ac:dyDescent="0.25">
      <c r="A48"/>
      <c r="B48"/>
      <c r="C48"/>
      <c r="D48"/>
    </row>
    <row r="49" spans="1:4" ht="15" x14ac:dyDescent="0.25">
      <c r="A49"/>
      <c r="B49"/>
      <c r="C49"/>
      <c r="D49"/>
    </row>
    <row r="50" spans="1:4" ht="15" x14ac:dyDescent="0.25">
      <c r="A50"/>
      <c r="B50"/>
      <c r="C50"/>
      <c r="D50"/>
    </row>
    <row r="51" spans="1:4" ht="15" x14ac:dyDescent="0.25">
      <c r="A51"/>
      <c r="B51"/>
      <c r="C51"/>
      <c r="D51"/>
    </row>
    <row r="52" spans="1:4" ht="15" x14ac:dyDescent="0.25">
      <c r="A52"/>
      <c r="B52"/>
      <c r="C52"/>
      <c r="D52"/>
    </row>
    <row r="53" spans="1:4" ht="15" x14ac:dyDescent="0.25">
      <c r="A53"/>
      <c r="B53"/>
      <c r="C53"/>
      <c r="D53"/>
    </row>
    <row r="54" spans="1:4" ht="15" x14ac:dyDescent="0.25">
      <c r="A54"/>
      <c r="B54"/>
      <c r="C54"/>
      <c r="D54"/>
    </row>
    <row r="55" spans="1:4" ht="15" x14ac:dyDescent="0.25">
      <c r="A55"/>
      <c r="B55"/>
      <c r="C55"/>
      <c r="D55"/>
    </row>
    <row r="56" spans="1:4" ht="15" x14ac:dyDescent="0.25">
      <c r="A56"/>
      <c r="B56"/>
      <c r="C56"/>
      <c r="D56"/>
    </row>
    <row r="57" spans="1:4" ht="15" x14ac:dyDescent="0.25">
      <c r="A57"/>
      <c r="B57"/>
      <c r="C57"/>
      <c r="D57"/>
    </row>
    <row r="58" spans="1:4" ht="15" x14ac:dyDescent="0.25">
      <c r="A58"/>
      <c r="B58"/>
      <c r="C58"/>
      <c r="D58"/>
    </row>
    <row r="59" spans="1:4" ht="15" x14ac:dyDescent="0.25">
      <c r="A59"/>
      <c r="B59"/>
      <c r="C59"/>
      <c r="D59"/>
    </row>
    <row r="60" spans="1:4" ht="15" x14ac:dyDescent="0.25">
      <c r="A60"/>
      <c r="B60"/>
      <c r="C60"/>
      <c r="D60"/>
    </row>
    <row r="61" spans="1:4" ht="15" x14ac:dyDescent="0.25">
      <c r="A61"/>
      <c r="B61"/>
      <c r="C61"/>
      <c r="D61"/>
    </row>
    <row r="62" spans="1:4" ht="15" x14ac:dyDescent="0.25">
      <c r="A62"/>
      <c r="B62"/>
      <c r="C62"/>
      <c r="D62"/>
    </row>
    <row r="63" spans="1:4" ht="15" x14ac:dyDescent="0.25">
      <c r="A63"/>
      <c r="B63"/>
      <c r="C63"/>
      <c r="D63"/>
    </row>
    <row r="64" spans="1:4" ht="15" x14ac:dyDescent="0.25">
      <c r="A64"/>
      <c r="B64"/>
      <c r="C64"/>
      <c r="D64"/>
    </row>
    <row r="65" spans="1:4" ht="15" x14ac:dyDescent="0.25">
      <c r="A65"/>
      <c r="B65"/>
      <c r="C65"/>
      <c r="D65"/>
    </row>
    <row r="66" spans="1:4" ht="15" x14ac:dyDescent="0.25">
      <c r="A66"/>
      <c r="B66"/>
      <c r="C66"/>
      <c r="D66"/>
    </row>
    <row r="67" spans="1:4" ht="15" x14ac:dyDescent="0.25">
      <c r="A67"/>
      <c r="B67"/>
      <c r="C67"/>
      <c r="D67"/>
    </row>
    <row r="68" spans="1:4" ht="15" x14ac:dyDescent="0.25">
      <c r="A68"/>
      <c r="B68"/>
      <c r="C68"/>
      <c r="D68"/>
    </row>
    <row r="69" spans="1:4" ht="15" x14ac:dyDescent="0.25">
      <c r="A69"/>
      <c r="B69"/>
      <c r="C69"/>
      <c r="D69"/>
    </row>
    <row r="70" spans="1:4" ht="15" x14ac:dyDescent="0.25">
      <c r="A70"/>
      <c r="B70"/>
      <c r="C70"/>
      <c r="D70"/>
    </row>
    <row r="71" spans="1:4" ht="15" x14ac:dyDescent="0.25">
      <c r="A71"/>
      <c r="B71"/>
      <c r="C71"/>
      <c r="D71"/>
    </row>
    <row r="72" spans="1:4" ht="15" x14ac:dyDescent="0.25">
      <c r="A72"/>
      <c r="B72"/>
      <c r="C72"/>
      <c r="D72"/>
    </row>
    <row r="73" spans="1:4" ht="15" x14ac:dyDescent="0.25">
      <c r="A73"/>
      <c r="B73"/>
      <c r="C73"/>
      <c r="D73"/>
    </row>
    <row r="74" spans="1:4" ht="15" x14ac:dyDescent="0.25">
      <c r="A74"/>
      <c r="B74"/>
      <c r="C74"/>
      <c r="D74"/>
    </row>
    <row r="75" spans="1:4" ht="15" x14ac:dyDescent="0.25">
      <c r="A75"/>
      <c r="B75"/>
      <c r="C75"/>
      <c r="D75"/>
    </row>
    <row r="76" spans="1:4" ht="15" x14ac:dyDescent="0.25">
      <c r="A76"/>
      <c r="B76"/>
      <c r="C76"/>
      <c r="D76"/>
    </row>
    <row r="77" spans="1:4" ht="15" x14ac:dyDescent="0.25">
      <c r="A77"/>
      <c r="B77"/>
      <c r="C77"/>
      <c r="D77"/>
    </row>
    <row r="78" spans="1:4" ht="15" x14ac:dyDescent="0.25">
      <c r="A78"/>
      <c r="B78"/>
      <c r="C78"/>
      <c r="D78"/>
    </row>
    <row r="79" spans="1:4" ht="15" x14ac:dyDescent="0.25">
      <c r="A79"/>
      <c r="B79"/>
      <c r="C79"/>
      <c r="D79"/>
    </row>
    <row r="80" spans="1:4" ht="15" x14ac:dyDescent="0.25">
      <c r="A80"/>
      <c r="B80"/>
      <c r="C80"/>
      <c r="D80"/>
    </row>
    <row r="81" spans="1:4" ht="15" x14ac:dyDescent="0.25">
      <c r="A81"/>
      <c r="B81"/>
      <c r="C81"/>
      <c r="D81"/>
    </row>
    <row r="82" spans="1:4" ht="15" x14ac:dyDescent="0.25">
      <c r="A82"/>
      <c r="B82"/>
      <c r="C82"/>
      <c r="D82"/>
    </row>
    <row r="83" spans="1:4" ht="15" x14ac:dyDescent="0.25">
      <c r="A83"/>
      <c r="B83"/>
      <c r="C83"/>
      <c r="D83"/>
    </row>
    <row r="84" spans="1:4" ht="15" x14ac:dyDescent="0.25">
      <c r="A84"/>
      <c r="B84"/>
      <c r="C84"/>
      <c r="D84"/>
    </row>
    <row r="85" spans="1:4" x14ac:dyDescent="0.2">
      <c r="A85" s="43"/>
      <c r="B85" s="39"/>
      <c r="C85" s="39"/>
      <c r="D85" s="39"/>
    </row>
    <row r="86" spans="1:4" x14ac:dyDescent="0.2">
      <c r="A86" s="43"/>
      <c r="B86" s="39"/>
      <c r="C86" s="39"/>
      <c r="D86" s="39"/>
    </row>
    <row r="87" spans="1:4" x14ac:dyDescent="0.2">
      <c r="A87" s="43"/>
      <c r="B87" s="39"/>
      <c r="C87" s="39"/>
      <c r="D87" s="39"/>
    </row>
    <row r="88" spans="1:4" x14ac:dyDescent="0.2">
      <c r="A88" s="43"/>
      <c r="B88" s="39"/>
      <c r="C88" s="39"/>
      <c r="D88" s="39"/>
    </row>
    <row r="89" spans="1:4" x14ac:dyDescent="0.2">
      <c r="A89" s="43"/>
      <c r="B89" s="39"/>
      <c r="C89" s="39"/>
      <c r="D89" s="39"/>
    </row>
    <row r="90" spans="1:4" x14ac:dyDescent="0.2">
      <c r="A90" s="43"/>
      <c r="B90" s="39"/>
      <c r="C90" s="39"/>
      <c r="D90" s="39"/>
    </row>
    <row r="91" spans="1:4" x14ac:dyDescent="0.2">
      <c r="A91" s="43"/>
      <c r="B91" s="39"/>
      <c r="C91" s="39"/>
      <c r="D91" s="39"/>
    </row>
    <row r="92" spans="1:4" x14ac:dyDescent="0.2">
      <c r="A92" s="43"/>
      <c r="B92" s="39"/>
      <c r="C92" s="39"/>
      <c r="D92" s="39"/>
    </row>
    <row r="93" spans="1:4" x14ac:dyDescent="0.2">
      <c r="A93" s="43"/>
      <c r="B93" s="39"/>
      <c r="C93" s="39"/>
      <c r="D93" s="39"/>
    </row>
    <row r="94" spans="1:4" x14ac:dyDescent="0.2">
      <c r="A94" s="43"/>
      <c r="B94" s="39"/>
      <c r="C94" s="39"/>
      <c r="D94" s="39"/>
    </row>
    <row r="95" spans="1:4" x14ac:dyDescent="0.2">
      <c r="A95" s="43"/>
      <c r="B95" s="39"/>
      <c r="C95" s="39"/>
      <c r="D95" s="39"/>
    </row>
    <row r="96" spans="1:4" x14ac:dyDescent="0.2">
      <c r="A96" s="43"/>
      <c r="B96" s="39"/>
      <c r="C96" s="39"/>
      <c r="D96" s="39"/>
    </row>
    <row r="97" spans="1:4" x14ac:dyDescent="0.2">
      <c r="A97" s="43"/>
      <c r="B97" s="39"/>
      <c r="C97" s="39"/>
      <c r="D97" s="39"/>
    </row>
    <row r="98" spans="1:4" x14ac:dyDescent="0.2">
      <c r="A98" s="43"/>
      <c r="B98" s="39"/>
      <c r="C98" s="39"/>
      <c r="D98" s="39"/>
    </row>
    <row r="99" spans="1:4" x14ac:dyDescent="0.2">
      <c r="A99" s="43"/>
      <c r="B99" s="39"/>
      <c r="C99" s="39"/>
      <c r="D99" s="39"/>
    </row>
    <row r="100" spans="1:4" x14ac:dyDescent="0.2">
      <c r="A100" s="43"/>
      <c r="B100" s="39"/>
      <c r="C100" s="39"/>
      <c r="D100" s="39"/>
    </row>
    <row r="101" spans="1:4" x14ac:dyDescent="0.2">
      <c r="A101" s="43"/>
      <c r="B101" s="39"/>
      <c r="C101" s="39"/>
      <c r="D101" s="39"/>
    </row>
    <row r="102" spans="1:4" x14ac:dyDescent="0.2">
      <c r="A102" s="43"/>
      <c r="B102" s="39"/>
      <c r="C102" s="39"/>
      <c r="D102" s="39"/>
    </row>
    <row r="103" spans="1:4" x14ac:dyDescent="0.2">
      <c r="A103" s="43"/>
      <c r="B103" s="39"/>
      <c r="C103" s="39"/>
      <c r="D103" s="39"/>
    </row>
    <row r="104" spans="1:4" x14ac:dyDescent="0.2">
      <c r="A104" s="43"/>
      <c r="B104" s="39"/>
      <c r="C104" s="39"/>
      <c r="D104" s="39"/>
    </row>
    <row r="105" spans="1:4" x14ac:dyDescent="0.2">
      <c r="A105" s="43"/>
      <c r="B105" s="39"/>
      <c r="C105" s="39"/>
      <c r="D105" s="39"/>
    </row>
    <row r="106" spans="1:4" x14ac:dyDescent="0.2">
      <c r="A106" s="43"/>
      <c r="B106" s="39"/>
      <c r="C106" s="39"/>
      <c r="D106" s="39"/>
    </row>
    <row r="107" spans="1:4" x14ac:dyDescent="0.2">
      <c r="A107" s="43"/>
      <c r="B107" s="39"/>
      <c r="C107" s="39"/>
      <c r="D107" s="39"/>
    </row>
    <row r="108" spans="1:4" x14ac:dyDescent="0.2">
      <c r="A108" s="43"/>
      <c r="B108" s="39"/>
      <c r="C108" s="39"/>
      <c r="D108" s="39"/>
    </row>
    <row r="109" spans="1:4" x14ac:dyDescent="0.2">
      <c r="A109" s="43"/>
      <c r="B109" s="39"/>
      <c r="C109" s="39"/>
      <c r="D109" s="39"/>
    </row>
    <row r="110" spans="1:4" x14ac:dyDescent="0.2">
      <c r="A110" s="43"/>
      <c r="B110" s="39"/>
      <c r="C110" s="39"/>
      <c r="D110" s="39"/>
    </row>
    <row r="111" spans="1:4" x14ac:dyDescent="0.2">
      <c r="A111" s="43"/>
      <c r="B111" s="39"/>
      <c r="C111" s="39"/>
      <c r="D111" s="39"/>
    </row>
    <row r="112" spans="1:4" x14ac:dyDescent="0.2">
      <c r="A112" s="43"/>
      <c r="B112" s="39"/>
      <c r="C112" s="39"/>
      <c r="D112" s="39"/>
    </row>
    <row r="113" spans="1:4" x14ac:dyDescent="0.2">
      <c r="A113" s="43"/>
      <c r="B113" s="39"/>
      <c r="C113" s="39"/>
      <c r="D113" s="39"/>
    </row>
    <row r="114" spans="1:4" x14ac:dyDescent="0.2">
      <c r="A114" s="43"/>
      <c r="B114" s="39"/>
      <c r="C114" s="39"/>
      <c r="D114" s="39"/>
    </row>
    <row r="115" spans="1:4" x14ac:dyDescent="0.2">
      <c r="A115" s="43"/>
      <c r="B115" s="39"/>
      <c r="C115" s="39"/>
      <c r="D115" s="39"/>
    </row>
    <row r="116" spans="1:4" x14ac:dyDescent="0.2">
      <c r="A116" s="43"/>
      <c r="B116" s="39"/>
      <c r="C116" s="39"/>
      <c r="D116" s="39"/>
    </row>
    <row r="117" spans="1:4" x14ac:dyDescent="0.2">
      <c r="A117" s="43"/>
      <c r="B117" s="39"/>
      <c r="C117" s="39"/>
      <c r="D117" s="39"/>
    </row>
    <row r="118" spans="1:4" x14ac:dyDescent="0.2">
      <c r="A118" s="43"/>
      <c r="B118" s="39"/>
      <c r="C118" s="39"/>
      <c r="D118" s="39"/>
    </row>
    <row r="119" spans="1:4" x14ac:dyDescent="0.2">
      <c r="A119" s="43"/>
      <c r="B119" s="39"/>
      <c r="C119" s="39"/>
      <c r="D119" s="39"/>
    </row>
    <row r="120" spans="1:4" x14ac:dyDescent="0.2">
      <c r="A120" s="43"/>
      <c r="B120" s="39"/>
      <c r="C120" s="39"/>
      <c r="D120" s="39"/>
    </row>
    <row r="121" spans="1:4" x14ac:dyDescent="0.2">
      <c r="A121" s="43"/>
      <c r="B121" s="39"/>
      <c r="C121" s="39"/>
      <c r="D121" s="39"/>
    </row>
    <row r="122" spans="1:4" x14ac:dyDescent="0.2">
      <c r="A122" s="43"/>
      <c r="B122" s="39"/>
      <c r="C122" s="39"/>
      <c r="D122" s="39"/>
    </row>
    <row r="123" spans="1:4" x14ac:dyDescent="0.2">
      <c r="A123" s="43"/>
      <c r="B123" s="39"/>
      <c r="C123" s="39"/>
      <c r="D123" s="39"/>
    </row>
    <row r="124" spans="1:4" x14ac:dyDescent="0.2">
      <c r="A124" s="43"/>
      <c r="B124" s="39"/>
      <c r="C124" s="39"/>
      <c r="D124" s="39"/>
    </row>
    <row r="125" spans="1:4" x14ac:dyDescent="0.2">
      <c r="A125" s="43"/>
      <c r="B125" s="39"/>
      <c r="C125" s="39"/>
      <c r="D125" s="39"/>
    </row>
    <row r="126" spans="1:4" x14ac:dyDescent="0.2">
      <c r="A126" s="43"/>
      <c r="B126" s="39"/>
      <c r="C126" s="39"/>
      <c r="D126" s="39"/>
    </row>
    <row r="127" spans="1:4" x14ac:dyDescent="0.2">
      <c r="A127" s="43"/>
      <c r="B127" s="39"/>
      <c r="C127" s="39"/>
      <c r="D127" s="39"/>
    </row>
    <row r="128" spans="1:4" x14ac:dyDescent="0.2">
      <c r="A128" s="43"/>
      <c r="B128" s="39"/>
      <c r="C128" s="39"/>
      <c r="D128" s="39"/>
    </row>
    <row r="129" spans="1:4" x14ac:dyDescent="0.2">
      <c r="A129" s="43"/>
      <c r="B129" s="39"/>
      <c r="C129" s="39"/>
      <c r="D129" s="39"/>
    </row>
    <row r="130" spans="1:4" x14ac:dyDescent="0.2">
      <c r="A130" s="43"/>
      <c r="B130" s="39"/>
      <c r="C130" s="39"/>
      <c r="D130" s="39"/>
    </row>
    <row r="131" spans="1:4" x14ac:dyDescent="0.2">
      <c r="A131" s="43"/>
      <c r="B131" s="39"/>
      <c r="C131" s="39"/>
      <c r="D131" s="39"/>
    </row>
    <row r="132" spans="1:4" x14ac:dyDescent="0.2">
      <c r="A132" s="43"/>
      <c r="B132" s="39"/>
      <c r="C132" s="39"/>
      <c r="D132" s="39"/>
    </row>
    <row r="133" spans="1:4" x14ac:dyDescent="0.2">
      <c r="A133" s="43"/>
      <c r="B133" s="39"/>
      <c r="C133" s="39"/>
      <c r="D133" s="39"/>
    </row>
    <row r="134" spans="1:4" x14ac:dyDescent="0.2">
      <c r="A134" s="43"/>
      <c r="B134" s="39"/>
      <c r="C134" s="39"/>
      <c r="D134" s="39"/>
    </row>
    <row r="135" spans="1:4" x14ac:dyDescent="0.2">
      <c r="A135" s="43"/>
      <c r="B135" s="39"/>
      <c r="C135" s="39"/>
      <c r="D135" s="39"/>
    </row>
    <row r="136" spans="1:4" x14ac:dyDescent="0.2">
      <c r="A136" s="43"/>
      <c r="B136" s="39"/>
      <c r="C136" s="39"/>
      <c r="D136" s="39"/>
    </row>
    <row r="137" spans="1:4" x14ac:dyDescent="0.2">
      <c r="A137" s="43"/>
      <c r="B137" s="39"/>
      <c r="C137" s="39"/>
      <c r="D137" s="39"/>
    </row>
    <row r="138" spans="1:4" x14ac:dyDescent="0.2">
      <c r="A138" s="43"/>
      <c r="B138" s="39"/>
      <c r="C138" s="39"/>
      <c r="D138" s="39"/>
    </row>
    <row r="139" spans="1:4" x14ac:dyDescent="0.2">
      <c r="A139" s="43"/>
      <c r="B139" s="39"/>
      <c r="C139" s="39"/>
      <c r="D139" s="39"/>
    </row>
    <row r="140" spans="1:4" x14ac:dyDescent="0.2">
      <c r="A140" s="43"/>
      <c r="B140" s="39"/>
      <c r="C140" s="39"/>
      <c r="D140" s="39"/>
    </row>
    <row r="141" spans="1:4" x14ac:dyDescent="0.2">
      <c r="A141" s="43"/>
      <c r="B141" s="39"/>
      <c r="C141" s="39"/>
      <c r="D141" s="39"/>
    </row>
    <row r="142" spans="1:4" x14ac:dyDescent="0.2">
      <c r="A142" s="43"/>
      <c r="B142" s="39"/>
      <c r="C142" s="39"/>
      <c r="D142" s="39"/>
    </row>
    <row r="143" spans="1:4" x14ac:dyDescent="0.2">
      <c r="A143" s="43"/>
      <c r="B143" s="39"/>
      <c r="C143" s="39"/>
      <c r="D143" s="39"/>
    </row>
    <row r="144" spans="1:4" x14ac:dyDescent="0.2">
      <c r="A144" s="43"/>
      <c r="B144" s="39"/>
      <c r="C144" s="39"/>
      <c r="D144" s="39"/>
    </row>
    <row r="145" spans="1:4" x14ac:dyDescent="0.2">
      <c r="A145" s="43"/>
      <c r="B145" s="39"/>
      <c r="C145" s="39"/>
      <c r="D145" s="39"/>
    </row>
    <row r="146" spans="1:4" x14ac:dyDescent="0.2">
      <c r="A146" s="43"/>
      <c r="B146" s="39"/>
      <c r="C146" s="39"/>
      <c r="D146" s="39"/>
    </row>
    <row r="147" spans="1:4" x14ac:dyDescent="0.2">
      <c r="A147" s="43"/>
      <c r="B147" s="39"/>
      <c r="C147" s="39"/>
      <c r="D147" s="39"/>
    </row>
    <row r="148" spans="1:4" x14ac:dyDescent="0.2">
      <c r="A148" s="43"/>
      <c r="B148" s="39"/>
      <c r="C148" s="39"/>
      <c r="D148" s="39"/>
    </row>
    <row r="149" spans="1:4" x14ac:dyDescent="0.2">
      <c r="A149" s="43"/>
      <c r="B149" s="39"/>
      <c r="C149" s="39"/>
      <c r="D149" s="39"/>
    </row>
    <row r="150" spans="1:4" x14ac:dyDescent="0.2">
      <c r="A150" s="43"/>
      <c r="B150" s="39"/>
      <c r="C150" s="39"/>
      <c r="D150" s="39"/>
    </row>
    <row r="151" spans="1:4" x14ac:dyDescent="0.2">
      <c r="A151" s="43"/>
      <c r="B151" s="39"/>
      <c r="C151" s="39"/>
      <c r="D151" s="39"/>
    </row>
    <row r="152" spans="1:4" x14ac:dyDescent="0.2">
      <c r="A152" s="43"/>
      <c r="B152" s="39"/>
      <c r="C152" s="39"/>
      <c r="D152" s="39"/>
    </row>
    <row r="153" spans="1:4" x14ac:dyDescent="0.2">
      <c r="A153" s="43"/>
      <c r="B153" s="39"/>
      <c r="C153" s="39"/>
      <c r="D153" s="39"/>
    </row>
    <row r="154" spans="1:4" x14ac:dyDescent="0.2">
      <c r="A154" s="43"/>
      <c r="B154" s="39"/>
      <c r="C154" s="39"/>
      <c r="D154" s="39"/>
    </row>
    <row r="155" spans="1:4" x14ac:dyDescent="0.2">
      <c r="A155" s="43"/>
      <c r="B155" s="39"/>
      <c r="C155" s="39"/>
      <c r="D155" s="39"/>
    </row>
    <row r="156" spans="1:4" x14ac:dyDescent="0.2">
      <c r="A156" s="43"/>
      <c r="B156" s="39"/>
      <c r="C156" s="39"/>
      <c r="D156" s="39"/>
    </row>
    <row r="157" spans="1:4" x14ac:dyDescent="0.2">
      <c r="A157" s="43"/>
      <c r="B157" s="39"/>
      <c r="C157" s="39"/>
      <c r="D157" s="39"/>
    </row>
    <row r="158" spans="1:4" x14ac:dyDescent="0.2">
      <c r="A158" s="43"/>
      <c r="B158" s="39"/>
      <c r="C158" s="39"/>
      <c r="D158" s="39"/>
    </row>
    <row r="159" spans="1:4" x14ac:dyDescent="0.2">
      <c r="A159" s="43"/>
      <c r="B159" s="39"/>
      <c r="C159" s="39"/>
      <c r="D159" s="39"/>
    </row>
    <row r="160" spans="1:4" x14ac:dyDescent="0.2">
      <c r="A160" s="43"/>
      <c r="B160" s="39"/>
      <c r="C160" s="39"/>
      <c r="D160" s="39"/>
    </row>
    <row r="161" spans="1:4" x14ac:dyDescent="0.2">
      <c r="A161" s="43"/>
      <c r="B161" s="39"/>
      <c r="C161" s="39"/>
      <c r="D161" s="39"/>
    </row>
    <row r="162" spans="1:4" x14ac:dyDescent="0.2">
      <c r="A162" s="43"/>
      <c r="B162" s="39"/>
      <c r="C162" s="39"/>
      <c r="D162" s="39"/>
    </row>
    <row r="163" spans="1:4" x14ac:dyDescent="0.2">
      <c r="A163" s="43"/>
      <c r="B163" s="39"/>
      <c r="C163" s="39"/>
      <c r="D163" s="39"/>
    </row>
    <row r="164" spans="1:4" x14ac:dyDescent="0.2">
      <c r="A164" s="43"/>
      <c r="B164" s="39"/>
      <c r="C164" s="39"/>
      <c r="D164" s="39"/>
    </row>
    <row r="165" spans="1:4" x14ac:dyDescent="0.2">
      <c r="A165" s="43"/>
      <c r="B165" s="39"/>
      <c r="C165" s="39"/>
      <c r="D165" s="39"/>
    </row>
    <row r="166" spans="1:4" x14ac:dyDescent="0.2">
      <c r="A166" s="43"/>
      <c r="B166" s="39"/>
      <c r="C166" s="39"/>
      <c r="D166" s="39"/>
    </row>
    <row r="167" spans="1:4" x14ac:dyDescent="0.2">
      <c r="A167" s="43"/>
      <c r="B167" s="39"/>
      <c r="C167" s="39"/>
      <c r="D167" s="39"/>
    </row>
    <row r="168" spans="1:4" x14ac:dyDescent="0.2">
      <c r="A168" s="43"/>
      <c r="B168" s="39"/>
      <c r="C168" s="39"/>
      <c r="D168" s="39"/>
    </row>
    <row r="169" spans="1:4" x14ac:dyDescent="0.2">
      <c r="A169" s="43"/>
      <c r="B169" s="39"/>
      <c r="C169" s="39"/>
      <c r="D169" s="39"/>
    </row>
    <row r="170" spans="1:4" x14ac:dyDescent="0.2">
      <c r="A170" s="43"/>
      <c r="B170" s="39"/>
      <c r="C170" s="39"/>
      <c r="D170" s="39"/>
    </row>
    <row r="171" spans="1:4" x14ac:dyDescent="0.2">
      <c r="A171" s="43"/>
      <c r="B171" s="39"/>
      <c r="C171" s="39"/>
      <c r="D171" s="39"/>
    </row>
    <row r="172" spans="1:4" x14ac:dyDescent="0.2">
      <c r="A172" s="43"/>
      <c r="B172" s="39"/>
      <c r="C172" s="39"/>
      <c r="D172" s="39"/>
    </row>
    <row r="173" spans="1:4" x14ac:dyDescent="0.2">
      <c r="A173" s="43"/>
      <c r="B173" s="39"/>
      <c r="C173" s="39"/>
      <c r="D173" s="39"/>
    </row>
    <row r="174" spans="1:4" x14ac:dyDescent="0.2">
      <c r="A174" s="43"/>
      <c r="B174" s="39"/>
      <c r="C174" s="39"/>
      <c r="D174" s="39"/>
    </row>
    <row r="175" spans="1:4" x14ac:dyDescent="0.2">
      <c r="A175" s="43"/>
      <c r="B175" s="39"/>
      <c r="C175" s="39"/>
      <c r="D175" s="39"/>
    </row>
    <row r="176" spans="1:4" x14ac:dyDescent="0.2">
      <c r="A176" s="43"/>
      <c r="B176" s="39"/>
      <c r="C176" s="39"/>
      <c r="D176" s="39"/>
    </row>
    <row r="177" spans="1:4" x14ac:dyDescent="0.2">
      <c r="A177" s="43"/>
      <c r="B177" s="39"/>
      <c r="C177" s="39"/>
      <c r="D177" s="39"/>
    </row>
    <row r="178" spans="1:4" x14ac:dyDescent="0.2">
      <c r="A178" s="43"/>
      <c r="B178" s="39"/>
      <c r="C178" s="39"/>
      <c r="D178" s="39"/>
    </row>
    <row r="179" spans="1:4" x14ac:dyDescent="0.2">
      <c r="A179" s="43"/>
      <c r="B179" s="39"/>
      <c r="C179" s="39"/>
      <c r="D179" s="39"/>
    </row>
    <row r="180" spans="1:4" x14ac:dyDescent="0.2">
      <c r="A180" s="43"/>
      <c r="B180" s="39"/>
      <c r="C180" s="39"/>
      <c r="D180" s="39"/>
    </row>
    <row r="181" spans="1:4" x14ac:dyDescent="0.2">
      <c r="A181" s="43"/>
      <c r="B181" s="39"/>
      <c r="C181" s="39"/>
      <c r="D181" s="39"/>
    </row>
    <row r="182" spans="1:4" x14ac:dyDescent="0.2">
      <c r="A182" s="43"/>
      <c r="B182" s="39"/>
      <c r="C182" s="39"/>
      <c r="D182" s="39"/>
    </row>
    <row r="183" spans="1:4" x14ac:dyDescent="0.2">
      <c r="A183" s="43"/>
      <c r="B183" s="39"/>
      <c r="C183" s="39"/>
      <c r="D183" s="39"/>
    </row>
    <row r="184" spans="1:4" x14ac:dyDescent="0.2">
      <c r="A184" s="43"/>
      <c r="B184" s="39"/>
      <c r="C184" s="39"/>
      <c r="D184" s="39"/>
    </row>
    <row r="185" spans="1:4" x14ac:dyDescent="0.2">
      <c r="A185" s="43"/>
      <c r="B185" s="39"/>
      <c r="C185" s="39"/>
      <c r="D185" s="39"/>
    </row>
    <row r="186" spans="1:4" x14ac:dyDescent="0.2">
      <c r="A186" s="43"/>
      <c r="B186" s="39"/>
      <c r="C186" s="39"/>
      <c r="D186" s="39"/>
    </row>
    <row r="187" spans="1:4" x14ac:dyDescent="0.2">
      <c r="A187" s="43"/>
      <c r="B187" s="39"/>
      <c r="C187" s="39"/>
      <c r="D187" s="39"/>
    </row>
    <row r="188" spans="1:4" x14ac:dyDescent="0.2">
      <c r="A188" s="43"/>
      <c r="B188" s="39"/>
      <c r="C188" s="39"/>
      <c r="D188" s="39"/>
    </row>
    <row r="189" spans="1:4" x14ac:dyDescent="0.2">
      <c r="A189" s="43"/>
      <c r="B189" s="39"/>
      <c r="C189" s="39"/>
      <c r="D189" s="39"/>
    </row>
    <row r="190" spans="1:4" x14ac:dyDescent="0.2">
      <c r="A190" s="43"/>
      <c r="B190" s="39"/>
      <c r="C190" s="39"/>
      <c r="D190" s="39"/>
    </row>
    <row r="191" spans="1:4" x14ac:dyDescent="0.2">
      <c r="A191" s="43"/>
      <c r="B191" s="39"/>
      <c r="C191" s="39"/>
      <c r="D191" s="39"/>
    </row>
    <row r="192" spans="1:4" x14ac:dyDescent="0.2">
      <c r="A192" s="43"/>
      <c r="B192" s="39"/>
      <c r="C192" s="39"/>
      <c r="D192" s="39"/>
    </row>
    <row r="193" spans="1:4" x14ac:dyDescent="0.2">
      <c r="A193" s="43"/>
      <c r="B193" s="39"/>
      <c r="C193" s="39"/>
      <c r="D193" s="39"/>
    </row>
    <row r="194" spans="1:4" x14ac:dyDescent="0.2">
      <c r="A194" s="43"/>
      <c r="B194" s="39"/>
      <c r="C194" s="39"/>
      <c r="D194" s="39"/>
    </row>
    <row r="195" spans="1:4" x14ac:dyDescent="0.2">
      <c r="A195" s="43"/>
      <c r="B195" s="39"/>
      <c r="C195" s="39"/>
      <c r="D195" s="39"/>
    </row>
    <row r="196" spans="1:4" x14ac:dyDescent="0.2">
      <c r="A196" s="43"/>
      <c r="B196" s="39"/>
      <c r="C196" s="39"/>
      <c r="D196" s="39"/>
    </row>
    <row r="197" spans="1:4" x14ac:dyDescent="0.2">
      <c r="A197" s="43"/>
      <c r="B197" s="39"/>
      <c r="C197" s="39"/>
      <c r="D197" s="39"/>
    </row>
    <row r="198" spans="1:4" x14ac:dyDescent="0.2">
      <c r="A198" s="43"/>
      <c r="B198" s="39"/>
      <c r="C198" s="39"/>
      <c r="D198" s="39"/>
    </row>
    <row r="199" spans="1:4" x14ac:dyDescent="0.2">
      <c r="A199" s="43"/>
      <c r="B199" s="39"/>
      <c r="C199" s="39"/>
      <c r="D199" s="39"/>
    </row>
    <row r="200" spans="1:4" x14ac:dyDescent="0.2">
      <c r="A200" s="43"/>
      <c r="B200" s="39"/>
      <c r="C200" s="39"/>
      <c r="D200" s="39"/>
    </row>
    <row r="201" spans="1:4" x14ac:dyDescent="0.2">
      <c r="A201" s="43"/>
      <c r="B201" s="39"/>
      <c r="C201" s="39"/>
      <c r="D201" s="39"/>
    </row>
    <row r="202" spans="1:4" x14ac:dyDescent="0.2">
      <c r="A202" s="43"/>
      <c r="B202" s="39"/>
      <c r="C202" s="39"/>
      <c r="D202" s="39"/>
    </row>
    <row r="203" spans="1:4" x14ac:dyDescent="0.2">
      <c r="A203" s="43"/>
      <c r="B203" s="39"/>
      <c r="C203" s="39"/>
      <c r="D203" s="39"/>
    </row>
    <row r="204" spans="1:4" x14ac:dyDescent="0.2">
      <c r="A204" s="43"/>
      <c r="B204" s="39"/>
      <c r="C204" s="39"/>
      <c r="D204" s="39"/>
    </row>
    <row r="205" spans="1:4" x14ac:dyDescent="0.2">
      <c r="A205" s="43"/>
      <c r="B205" s="39"/>
      <c r="C205" s="39"/>
      <c r="D205" s="39"/>
    </row>
    <row r="206" spans="1:4" x14ac:dyDescent="0.2">
      <c r="A206" s="43"/>
      <c r="B206" s="39"/>
      <c r="C206" s="39"/>
      <c r="D206" s="39"/>
    </row>
    <row r="207" spans="1:4" x14ac:dyDescent="0.2">
      <c r="A207" s="43"/>
      <c r="B207" s="39"/>
      <c r="C207" s="39"/>
      <c r="D207" s="39"/>
    </row>
    <row r="208" spans="1:4" x14ac:dyDescent="0.2">
      <c r="A208" s="43"/>
      <c r="B208" s="39"/>
      <c r="C208" s="39"/>
      <c r="D208" s="39"/>
    </row>
    <row r="209" spans="1:4" x14ac:dyDescent="0.2">
      <c r="A209" s="43"/>
      <c r="B209" s="39"/>
      <c r="C209" s="39"/>
      <c r="D209" s="39"/>
    </row>
    <row r="210" spans="1:4" x14ac:dyDescent="0.2">
      <c r="A210" s="43"/>
      <c r="B210" s="39"/>
      <c r="C210" s="39"/>
      <c r="D210" s="39"/>
    </row>
    <row r="211" spans="1:4" x14ac:dyDescent="0.2">
      <c r="A211" s="43"/>
      <c r="B211" s="39"/>
      <c r="C211" s="39"/>
      <c r="D211" s="39"/>
    </row>
    <row r="212" spans="1:4" x14ac:dyDescent="0.2">
      <c r="A212" s="43"/>
      <c r="B212" s="39"/>
      <c r="C212" s="39"/>
      <c r="D212" s="39"/>
    </row>
    <row r="213" spans="1:4" x14ac:dyDescent="0.2">
      <c r="A213" s="43"/>
      <c r="B213" s="39"/>
      <c r="C213" s="39"/>
      <c r="D213" s="39"/>
    </row>
    <row r="214" spans="1:4" x14ac:dyDescent="0.2">
      <c r="A214" s="43"/>
      <c r="B214" s="39"/>
      <c r="C214" s="39"/>
      <c r="D214" s="39"/>
    </row>
    <row r="215" spans="1:4" x14ac:dyDescent="0.2">
      <c r="A215" s="43"/>
      <c r="B215" s="39"/>
      <c r="C215" s="39"/>
      <c r="D215" s="39"/>
    </row>
    <row r="216" spans="1:4" x14ac:dyDescent="0.2">
      <c r="A216" s="43"/>
      <c r="B216" s="39"/>
      <c r="C216" s="39"/>
      <c r="D216" s="39"/>
    </row>
    <row r="217" spans="1:4" x14ac:dyDescent="0.2">
      <c r="A217" s="43"/>
      <c r="B217" s="39"/>
      <c r="C217" s="39"/>
      <c r="D217" s="39"/>
    </row>
    <row r="218" spans="1:4" x14ac:dyDescent="0.2">
      <c r="A218" s="43"/>
      <c r="B218" s="39"/>
      <c r="C218" s="39"/>
      <c r="D218" s="39"/>
    </row>
    <row r="219" spans="1:4" x14ac:dyDescent="0.2">
      <c r="A219" s="43"/>
      <c r="B219" s="39"/>
      <c r="C219" s="39"/>
      <c r="D219" s="39"/>
    </row>
    <row r="220" spans="1:4" x14ac:dyDescent="0.2">
      <c r="A220" s="43"/>
      <c r="B220" s="39"/>
      <c r="C220" s="39"/>
      <c r="D220" s="39"/>
    </row>
    <row r="221" spans="1:4" x14ac:dyDescent="0.2">
      <c r="A221" s="43"/>
      <c r="B221" s="39"/>
      <c r="C221" s="39"/>
      <c r="D221" s="39"/>
    </row>
    <row r="222" spans="1:4" x14ac:dyDescent="0.2">
      <c r="A222" s="43"/>
      <c r="B222" s="39"/>
      <c r="C222" s="39"/>
      <c r="D222" s="39"/>
    </row>
    <row r="223" spans="1:4" x14ac:dyDescent="0.2">
      <c r="A223" s="43"/>
      <c r="B223" s="39"/>
      <c r="C223" s="39"/>
      <c r="D223" s="39"/>
    </row>
    <row r="224" spans="1:4" x14ac:dyDescent="0.2">
      <c r="A224" s="43"/>
      <c r="B224" s="39"/>
      <c r="C224" s="39"/>
      <c r="D224" s="39"/>
    </row>
    <row r="225" spans="1:4" x14ac:dyDescent="0.2">
      <c r="A225" s="43"/>
      <c r="B225" s="39"/>
      <c r="C225" s="39"/>
      <c r="D225" s="39"/>
    </row>
    <row r="226" spans="1:4" x14ac:dyDescent="0.2">
      <c r="A226" s="43"/>
      <c r="B226" s="39"/>
      <c r="C226" s="39"/>
      <c r="D226" s="39"/>
    </row>
    <row r="227" spans="1:4" x14ac:dyDescent="0.2">
      <c r="A227" s="43"/>
      <c r="B227" s="39"/>
      <c r="C227" s="39"/>
      <c r="D227" s="39"/>
    </row>
    <row r="228" spans="1:4" x14ac:dyDescent="0.2">
      <c r="A228" s="43"/>
      <c r="B228" s="39"/>
      <c r="C228" s="39"/>
      <c r="D228" s="39"/>
    </row>
    <row r="229" spans="1:4" x14ac:dyDescent="0.2">
      <c r="A229" s="43"/>
      <c r="B229" s="39"/>
      <c r="C229" s="39"/>
      <c r="D229" s="39"/>
    </row>
    <row r="230" spans="1:4" x14ac:dyDescent="0.2">
      <c r="A230" s="43"/>
      <c r="B230" s="39"/>
      <c r="C230" s="39"/>
      <c r="D230" s="39"/>
    </row>
    <row r="231" spans="1:4" x14ac:dyDescent="0.2">
      <c r="A231" s="43"/>
      <c r="B231" s="39"/>
      <c r="C231" s="39"/>
      <c r="D231" s="39"/>
    </row>
    <row r="232" spans="1:4" x14ac:dyDescent="0.2">
      <c r="A232" s="43"/>
      <c r="B232" s="39"/>
      <c r="C232" s="39"/>
      <c r="D232" s="39"/>
    </row>
    <row r="233" spans="1:4" x14ac:dyDescent="0.2">
      <c r="A233" s="43"/>
      <c r="B233" s="39"/>
      <c r="C233" s="39"/>
      <c r="D233" s="39"/>
    </row>
    <row r="234" spans="1:4" x14ac:dyDescent="0.2">
      <c r="A234" s="43"/>
      <c r="B234" s="39"/>
      <c r="C234" s="39"/>
      <c r="D234" s="39"/>
    </row>
    <row r="235" spans="1:4" x14ac:dyDescent="0.2">
      <c r="A235" s="43"/>
      <c r="B235" s="39"/>
      <c r="C235" s="39"/>
      <c r="D235" s="39"/>
    </row>
    <row r="236" spans="1:4" x14ac:dyDescent="0.2">
      <c r="A236" s="43"/>
      <c r="B236" s="39"/>
      <c r="C236" s="39"/>
      <c r="D236" s="39"/>
    </row>
    <row r="237" spans="1:4" x14ac:dyDescent="0.2">
      <c r="A237" s="43"/>
      <c r="B237" s="39"/>
      <c r="C237" s="39"/>
      <c r="D237" s="39"/>
    </row>
    <row r="238" spans="1:4" x14ac:dyDescent="0.2">
      <c r="A238" s="43"/>
      <c r="B238" s="39"/>
      <c r="C238" s="39"/>
      <c r="D238" s="39"/>
    </row>
    <row r="239" spans="1:4" x14ac:dyDescent="0.2">
      <c r="A239" s="43"/>
      <c r="B239" s="39"/>
      <c r="C239" s="39"/>
      <c r="D239" s="39"/>
    </row>
    <row r="240" spans="1:4" x14ac:dyDescent="0.2">
      <c r="A240" s="43"/>
      <c r="B240" s="39"/>
      <c r="C240" s="39"/>
      <c r="D240" s="39"/>
    </row>
    <row r="241" spans="1:4" x14ac:dyDescent="0.2">
      <c r="A241" s="43"/>
      <c r="B241" s="39"/>
      <c r="C241" s="39"/>
      <c r="D241" s="39"/>
    </row>
    <row r="242" spans="1:4" x14ac:dyDescent="0.2">
      <c r="A242" s="43"/>
      <c r="B242" s="39"/>
      <c r="C242" s="39"/>
      <c r="D242" s="39"/>
    </row>
    <row r="243" spans="1:4" x14ac:dyDescent="0.2">
      <c r="A243" s="43"/>
      <c r="B243" s="39"/>
      <c r="C243" s="39"/>
      <c r="D243" s="39"/>
    </row>
    <row r="244" spans="1:4" x14ac:dyDescent="0.2">
      <c r="A244" s="43"/>
      <c r="B244" s="39"/>
      <c r="C244" s="39"/>
      <c r="D244" s="39"/>
    </row>
    <row r="245" spans="1:4" x14ac:dyDescent="0.2">
      <c r="A245" s="43"/>
      <c r="B245" s="39"/>
      <c r="C245" s="39"/>
      <c r="D245" s="39"/>
    </row>
    <row r="246" spans="1:4" x14ac:dyDescent="0.2">
      <c r="A246" s="43"/>
      <c r="B246" s="39"/>
      <c r="C246" s="39"/>
      <c r="D246" s="39"/>
    </row>
    <row r="247" spans="1:4" x14ac:dyDescent="0.2">
      <c r="A247" s="43"/>
      <c r="B247" s="39"/>
      <c r="C247" s="39"/>
      <c r="D247" s="39"/>
    </row>
    <row r="248" spans="1:4" x14ac:dyDescent="0.2">
      <c r="A248" s="43"/>
      <c r="B248" s="39"/>
      <c r="C248" s="39"/>
      <c r="D248" s="39"/>
    </row>
    <row r="249" spans="1:4" x14ac:dyDescent="0.2">
      <c r="A249" s="43"/>
      <c r="B249" s="39"/>
      <c r="C249" s="39"/>
      <c r="D249" s="39"/>
    </row>
    <row r="250" spans="1:4" x14ac:dyDescent="0.2">
      <c r="A250" s="43"/>
      <c r="B250" s="39"/>
      <c r="C250" s="39"/>
      <c r="D250" s="39"/>
    </row>
    <row r="251" spans="1:4" x14ac:dyDescent="0.2">
      <c r="A251" s="43"/>
      <c r="B251" s="39"/>
      <c r="C251" s="39"/>
      <c r="D251" s="39"/>
    </row>
    <row r="252" spans="1:4" x14ac:dyDescent="0.2">
      <c r="A252" s="43"/>
      <c r="B252" s="39"/>
      <c r="C252" s="39"/>
      <c r="D252" s="39"/>
    </row>
    <row r="253" spans="1:4" x14ac:dyDescent="0.2">
      <c r="A253" s="43"/>
      <c r="B253" s="39"/>
      <c r="C253" s="39"/>
      <c r="D253" s="39"/>
    </row>
    <row r="254" spans="1:4" x14ac:dyDescent="0.2">
      <c r="A254" s="43"/>
      <c r="B254" s="39"/>
      <c r="C254" s="39"/>
      <c r="D254" s="39"/>
    </row>
    <row r="255" spans="1:4" x14ac:dyDescent="0.2">
      <c r="A255" s="43"/>
      <c r="B255" s="39"/>
      <c r="C255" s="39"/>
      <c r="D255" s="39"/>
    </row>
    <row r="256" spans="1:4" x14ac:dyDescent="0.2">
      <c r="A256" s="43"/>
      <c r="B256" s="39"/>
      <c r="C256" s="39"/>
      <c r="D256" s="39"/>
    </row>
    <row r="257" spans="1:4" x14ac:dyDescent="0.2">
      <c r="A257" s="43"/>
      <c r="B257" s="39"/>
      <c r="C257" s="39"/>
      <c r="D257" s="39"/>
    </row>
    <row r="258" spans="1:4" x14ac:dyDescent="0.2">
      <c r="A258" s="43"/>
      <c r="B258" s="39"/>
      <c r="C258" s="39"/>
      <c r="D258" s="39"/>
    </row>
    <row r="259" spans="1:4" x14ac:dyDescent="0.2">
      <c r="A259" s="43"/>
      <c r="B259" s="39"/>
      <c r="C259" s="39"/>
      <c r="D259" s="39"/>
    </row>
    <row r="260" spans="1:4" x14ac:dyDescent="0.2">
      <c r="A260" s="43"/>
      <c r="B260" s="39"/>
      <c r="C260" s="39"/>
      <c r="D260" s="39"/>
    </row>
    <row r="261" spans="1:4" x14ac:dyDescent="0.2">
      <c r="A261" s="43"/>
      <c r="B261" s="39"/>
      <c r="C261" s="39"/>
      <c r="D261" s="39"/>
    </row>
    <row r="262" spans="1:4" x14ac:dyDescent="0.2">
      <c r="A262" s="43"/>
      <c r="B262" s="39"/>
      <c r="C262" s="39"/>
      <c r="D262" s="39"/>
    </row>
    <row r="263" spans="1:4" x14ac:dyDescent="0.2">
      <c r="A263" s="43"/>
      <c r="B263" s="39"/>
      <c r="C263" s="39"/>
      <c r="D263" s="39"/>
    </row>
    <row r="264" spans="1:4" x14ac:dyDescent="0.2">
      <c r="A264" s="43"/>
      <c r="B264" s="39"/>
      <c r="C264" s="39"/>
      <c r="D264" s="39"/>
    </row>
    <row r="265" spans="1:4" x14ac:dyDescent="0.2">
      <c r="A265" s="43"/>
      <c r="B265" s="39"/>
      <c r="C265" s="39"/>
      <c r="D265" s="39"/>
    </row>
    <row r="266" spans="1:4" x14ac:dyDescent="0.2">
      <c r="A266" s="43"/>
      <c r="B266" s="39"/>
      <c r="C266" s="39"/>
      <c r="D266" s="39"/>
    </row>
    <row r="267" spans="1:4" x14ac:dyDescent="0.2">
      <c r="A267" s="43"/>
      <c r="B267" s="39"/>
      <c r="C267" s="39"/>
      <c r="D267" s="39"/>
    </row>
    <row r="268" spans="1:4" x14ac:dyDescent="0.2">
      <c r="A268" s="43"/>
      <c r="B268" s="39"/>
      <c r="C268" s="39"/>
      <c r="D268" s="39"/>
    </row>
    <row r="269" spans="1:4" x14ac:dyDescent="0.2">
      <c r="A269" s="43"/>
      <c r="B269" s="39"/>
      <c r="C269" s="39"/>
      <c r="D269" s="39"/>
    </row>
    <row r="270" spans="1:4" x14ac:dyDescent="0.2">
      <c r="A270" s="43"/>
      <c r="B270" s="39"/>
      <c r="C270" s="39"/>
      <c r="D270" s="39"/>
    </row>
    <row r="271" spans="1:4" x14ac:dyDescent="0.2">
      <c r="A271" s="43"/>
      <c r="B271" s="39"/>
      <c r="C271" s="39"/>
      <c r="D271" s="39"/>
    </row>
    <row r="272" spans="1:4" x14ac:dyDescent="0.2">
      <c r="A272" s="43"/>
      <c r="B272" s="39"/>
      <c r="C272" s="39"/>
      <c r="D272" s="39"/>
    </row>
    <row r="273" spans="1:4" x14ac:dyDescent="0.2">
      <c r="A273" s="43"/>
      <c r="B273" s="39"/>
      <c r="C273" s="39"/>
      <c r="D273" s="39"/>
    </row>
    <row r="274" spans="1:4" x14ac:dyDescent="0.2">
      <c r="A274" s="43"/>
      <c r="B274" s="39"/>
      <c r="C274" s="39"/>
      <c r="D274" s="39"/>
    </row>
    <row r="275" spans="1:4" x14ac:dyDescent="0.2">
      <c r="A275" s="43"/>
      <c r="B275" s="39"/>
      <c r="C275" s="39"/>
      <c r="D275" s="39"/>
    </row>
    <row r="276" spans="1:4" x14ac:dyDescent="0.2">
      <c r="A276" s="43"/>
      <c r="B276" s="39"/>
      <c r="C276" s="39"/>
      <c r="D276" s="39"/>
    </row>
    <row r="277" spans="1:4" x14ac:dyDescent="0.2">
      <c r="A277" s="43"/>
      <c r="B277" s="39"/>
      <c r="C277" s="39"/>
      <c r="D277" s="39"/>
    </row>
    <row r="278" spans="1:4" x14ac:dyDescent="0.2">
      <c r="A278" s="43"/>
      <c r="B278" s="39"/>
      <c r="C278" s="39"/>
      <c r="D278" s="39"/>
    </row>
    <row r="279" spans="1:4" x14ac:dyDescent="0.2">
      <c r="A279" s="43"/>
      <c r="B279" s="39"/>
      <c r="C279" s="39"/>
      <c r="D279" s="39"/>
    </row>
    <row r="280" spans="1:4" x14ac:dyDescent="0.2">
      <c r="A280" s="43"/>
      <c r="B280" s="39"/>
      <c r="C280" s="39"/>
      <c r="D280" s="39"/>
    </row>
    <row r="281" spans="1:4" x14ac:dyDescent="0.2">
      <c r="A281" s="43"/>
      <c r="B281" s="39"/>
      <c r="C281" s="39"/>
      <c r="D281" s="39"/>
    </row>
    <row r="282" spans="1:4" x14ac:dyDescent="0.2">
      <c r="A282" s="43"/>
      <c r="B282" s="39"/>
      <c r="C282" s="39"/>
      <c r="D282" s="39"/>
    </row>
    <row r="283" spans="1:4" x14ac:dyDescent="0.2">
      <c r="A283" s="43"/>
      <c r="B283" s="39"/>
      <c r="C283" s="39"/>
      <c r="D283" s="39"/>
    </row>
    <row r="284" spans="1:4" x14ac:dyDescent="0.2">
      <c r="A284" s="43"/>
      <c r="B284" s="39"/>
      <c r="C284" s="39"/>
      <c r="D284" s="39"/>
    </row>
    <row r="285" spans="1:4" x14ac:dyDescent="0.2">
      <c r="A285" s="43"/>
      <c r="B285" s="39"/>
      <c r="C285" s="39"/>
      <c r="D285" s="39"/>
    </row>
    <row r="286" spans="1:4" x14ac:dyDescent="0.2">
      <c r="A286" s="43"/>
      <c r="B286" s="39"/>
      <c r="C286" s="39"/>
      <c r="D286" s="39"/>
    </row>
    <row r="287" spans="1:4" x14ac:dyDescent="0.2">
      <c r="A287" s="43"/>
      <c r="B287" s="39"/>
      <c r="C287" s="39"/>
      <c r="D287" s="39"/>
    </row>
    <row r="288" spans="1:4" x14ac:dyDescent="0.2">
      <c r="A288" s="43"/>
      <c r="B288" s="39"/>
      <c r="C288" s="39"/>
      <c r="D288" s="39"/>
    </row>
    <row r="289" spans="1:4" x14ac:dyDescent="0.2">
      <c r="A289" s="43"/>
      <c r="B289" s="39"/>
      <c r="C289" s="39"/>
      <c r="D289" s="39"/>
    </row>
    <row r="290" spans="1:4" x14ac:dyDescent="0.2">
      <c r="A290" s="43"/>
      <c r="B290" s="39"/>
      <c r="C290" s="39"/>
      <c r="D290" s="39"/>
    </row>
    <row r="291" spans="1:4" x14ac:dyDescent="0.2">
      <c r="A291" s="43"/>
      <c r="B291" s="39"/>
      <c r="C291" s="39"/>
      <c r="D291" s="39"/>
    </row>
    <row r="292" spans="1:4" x14ac:dyDescent="0.2">
      <c r="A292" s="43"/>
      <c r="B292" s="39"/>
      <c r="C292" s="39"/>
      <c r="D292" s="39"/>
    </row>
    <row r="293" spans="1:4" x14ac:dyDescent="0.2">
      <c r="A293" s="43"/>
      <c r="B293" s="39"/>
      <c r="C293" s="39"/>
      <c r="D293" s="39"/>
    </row>
    <row r="294" spans="1:4" x14ac:dyDescent="0.2">
      <c r="A294" s="43"/>
      <c r="B294" s="39"/>
      <c r="C294" s="39"/>
      <c r="D294" s="39"/>
    </row>
    <row r="295" spans="1:4" x14ac:dyDescent="0.2">
      <c r="A295" s="43"/>
      <c r="B295" s="39"/>
      <c r="C295" s="39"/>
      <c r="D295" s="39"/>
    </row>
    <row r="296" spans="1:4" x14ac:dyDescent="0.2">
      <c r="A296" s="43"/>
      <c r="B296" s="39"/>
      <c r="C296" s="39"/>
      <c r="D296" s="39"/>
    </row>
    <row r="297" spans="1:4" x14ac:dyDescent="0.2">
      <c r="A297" s="43"/>
      <c r="B297" s="39"/>
      <c r="C297" s="39"/>
      <c r="D297" s="39"/>
    </row>
    <row r="298" spans="1:4" x14ac:dyDescent="0.2">
      <c r="A298" s="43"/>
      <c r="B298" s="39"/>
      <c r="C298" s="39"/>
      <c r="D298" s="39"/>
    </row>
    <row r="299" spans="1:4" x14ac:dyDescent="0.2">
      <c r="A299" s="43"/>
      <c r="B299" s="39"/>
      <c r="C299" s="39"/>
      <c r="D299" s="39"/>
    </row>
    <row r="300" spans="1:4" x14ac:dyDescent="0.2">
      <c r="A300" s="43"/>
      <c r="B300" s="39"/>
      <c r="C300" s="39"/>
      <c r="D300" s="39"/>
    </row>
    <row r="301" spans="1:4" x14ac:dyDescent="0.2">
      <c r="A301" s="43"/>
      <c r="B301" s="39"/>
      <c r="C301" s="39"/>
      <c r="D301" s="39"/>
    </row>
    <row r="302" spans="1:4" x14ac:dyDescent="0.2">
      <c r="A302" s="43"/>
      <c r="B302" s="39"/>
      <c r="C302" s="39"/>
      <c r="D302" s="39"/>
    </row>
    <row r="303" spans="1:4" x14ac:dyDescent="0.2">
      <c r="A303" s="43"/>
      <c r="B303" s="39"/>
      <c r="C303" s="39"/>
      <c r="D303" s="39"/>
    </row>
    <row r="304" spans="1:4" x14ac:dyDescent="0.2">
      <c r="A304" s="43"/>
      <c r="B304" s="39"/>
      <c r="C304" s="39"/>
      <c r="D304" s="39"/>
    </row>
    <row r="305" spans="1:4" x14ac:dyDescent="0.2">
      <c r="A305" s="43"/>
      <c r="B305" s="39"/>
      <c r="C305" s="39"/>
      <c r="D305" s="39"/>
    </row>
    <row r="306" spans="1:4" x14ac:dyDescent="0.2">
      <c r="A306" s="43"/>
      <c r="B306" s="39"/>
      <c r="C306" s="39"/>
      <c r="D306" s="39"/>
    </row>
    <row r="307" spans="1:4" x14ac:dyDescent="0.2">
      <c r="A307" s="43"/>
      <c r="B307" s="39"/>
      <c r="C307" s="39"/>
      <c r="D307" s="39"/>
    </row>
    <row r="308" spans="1:4" x14ac:dyDescent="0.2">
      <c r="A308" s="43"/>
      <c r="B308" s="39"/>
      <c r="C308" s="39"/>
      <c r="D308" s="39"/>
    </row>
    <row r="309" spans="1:4" x14ac:dyDescent="0.2">
      <c r="A309" s="43"/>
      <c r="B309" s="39"/>
      <c r="C309" s="39"/>
      <c r="D309" s="39"/>
    </row>
    <row r="310" spans="1:4" x14ac:dyDescent="0.2">
      <c r="A310" s="43"/>
      <c r="B310" s="39"/>
      <c r="C310" s="39"/>
      <c r="D310" s="39"/>
    </row>
    <row r="311" spans="1:4" x14ac:dyDescent="0.2">
      <c r="A311" s="43"/>
      <c r="B311" s="39"/>
      <c r="C311" s="39"/>
      <c r="D311" s="39"/>
    </row>
    <row r="312" spans="1:4" x14ac:dyDescent="0.2">
      <c r="A312" s="43"/>
      <c r="B312" s="39"/>
      <c r="C312" s="39"/>
      <c r="D312" s="39"/>
    </row>
    <row r="313" spans="1:4" x14ac:dyDescent="0.2">
      <c r="A313" s="43"/>
      <c r="B313" s="39"/>
      <c r="C313" s="39"/>
      <c r="D313" s="39"/>
    </row>
    <row r="314" spans="1:4" x14ac:dyDescent="0.2">
      <c r="A314" s="43"/>
      <c r="B314" s="39"/>
      <c r="C314" s="39"/>
      <c r="D314" s="39"/>
    </row>
    <row r="315" spans="1:4" x14ac:dyDescent="0.2">
      <c r="A315" s="43"/>
      <c r="B315" s="39"/>
      <c r="C315" s="39"/>
      <c r="D315" s="39"/>
    </row>
    <row r="316" spans="1:4" x14ac:dyDescent="0.2">
      <c r="A316" s="43"/>
      <c r="B316" s="39"/>
      <c r="C316" s="39"/>
      <c r="D316" s="39"/>
    </row>
    <row r="317" spans="1:4" x14ac:dyDescent="0.2">
      <c r="A317" s="43"/>
      <c r="B317" s="39"/>
      <c r="C317" s="39"/>
      <c r="D317" s="39"/>
    </row>
    <row r="318" spans="1:4" x14ac:dyDescent="0.2">
      <c r="A318" s="43"/>
      <c r="B318" s="39"/>
      <c r="C318" s="39"/>
      <c r="D318" s="39"/>
    </row>
    <row r="319" spans="1:4" x14ac:dyDescent="0.2">
      <c r="A319" s="43"/>
      <c r="B319" s="39"/>
      <c r="C319" s="39"/>
      <c r="D319" s="39"/>
    </row>
    <row r="320" spans="1:4" x14ac:dyDescent="0.2">
      <c r="A320" s="43"/>
      <c r="B320" s="39"/>
      <c r="C320" s="39"/>
      <c r="D320" s="39"/>
    </row>
    <row r="321" spans="1:4" x14ac:dyDescent="0.2">
      <c r="A321" s="43"/>
      <c r="B321" s="39"/>
      <c r="C321" s="39"/>
      <c r="D321" s="39"/>
    </row>
    <row r="322" spans="1:4" x14ac:dyDescent="0.2">
      <c r="A322" s="43"/>
      <c r="B322" s="39"/>
      <c r="C322" s="39"/>
      <c r="D322" s="39"/>
    </row>
    <row r="323" spans="1:4" x14ac:dyDescent="0.2">
      <c r="A323" s="43"/>
      <c r="B323" s="39"/>
      <c r="C323" s="39"/>
      <c r="D323" s="39"/>
    </row>
    <row r="324" spans="1:4" x14ac:dyDescent="0.2">
      <c r="A324" s="43"/>
      <c r="B324" s="39"/>
      <c r="C324" s="39"/>
      <c r="D324" s="39"/>
    </row>
    <row r="325" spans="1:4" x14ac:dyDescent="0.2">
      <c r="A325" s="43"/>
      <c r="B325" s="39"/>
      <c r="C325" s="39"/>
      <c r="D325" s="39"/>
    </row>
    <row r="326" spans="1:4" x14ac:dyDescent="0.2">
      <c r="A326" s="43"/>
      <c r="B326" s="39"/>
      <c r="C326" s="39"/>
      <c r="D326" s="39"/>
    </row>
    <row r="327" spans="1:4" x14ac:dyDescent="0.2">
      <c r="A327" s="43"/>
      <c r="B327" s="39"/>
      <c r="C327" s="39"/>
      <c r="D327" s="39"/>
    </row>
    <row r="328" spans="1:4" x14ac:dyDescent="0.2">
      <c r="A328" s="43"/>
      <c r="B328" s="39"/>
      <c r="C328" s="39"/>
      <c r="D328" s="39"/>
    </row>
    <row r="329" spans="1:4" x14ac:dyDescent="0.2">
      <c r="A329" s="43"/>
      <c r="B329" s="39"/>
      <c r="C329" s="39"/>
      <c r="D329" s="39"/>
    </row>
    <row r="330" spans="1:4" x14ac:dyDescent="0.2">
      <c r="A330" s="43"/>
      <c r="B330" s="39"/>
      <c r="C330" s="39"/>
      <c r="D330" s="39"/>
    </row>
    <row r="331" spans="1:4" x14ac:dyDescent="0.2">
      <c r="A331" s="43"/>
      <c r="B331" s="39"/>
      <c r="C331" s="39"/>
      <c r="D331" s="39"/>
    </row>
    <row r="332" spans="1:4" x14ac:dyDescent="0.2">
      <c r="A332" s="43"/>
      <c r="B332" s="39"/>
      <c r="C332" s="39"/>
      <c r="D332" s="39"/>
    </row>
    <row r="333" spans="1:4" x14ac:dyDescent="0.2">
      <c r="A333" s="43"/>
      <c r="B333" s="39"/>
      <c r="C333" s="39"/>
      <c r="D333" s="39"/>
    </row>
    <row r="334" spans="1:4" x14ac:dyDescent="0.2">
      <c r="A334" s="43"/>
      <c r="B334" s="39"/>
      <c r="C334" s="39"/>
      <c r="D334" s="39"/>
    </row>
    <row r="335" spans="1:4" x14ac:dyDescent="0.2">
      <c r="A335" s="43"/>
      <c r="B335" s="39"/>
      <c r="C335" s="39"/>
      <c r="D335" s="39"/>
    </row>
    <row r="336" spans="1:4" x14ac:dyDescent="0.2">
      <c r="A336" s="43"/>
      <c r="B336" s="39"/>
      <c r="C336" s="39"/>
      <c r="D336" s="39"/>
    </row>
    <row r="337" spans="1:4" x14ac:dyDescent="0.2">
      <c r="A337" s="43"/>
      <c r="B337" s="39"/>
      <c r="C337" s="39"/>
      <c r="D337" s="39"/>
    </row>
    <row r="338" spans="1:4" x14ac:dyDescent="0.2">
      <c r="A338" s="43"/>
      <c r="B338" s="39"/>
      <c r="C338" s="39"/>
      <c r="D338" s="39"/>
    </row>
    <row r="339" spans="1:4" x14ac:dyDescent="0.2">
      <c r="A339" s="43"/>
      <c r="B339" s="39"/>
      <c r="C339" s="39"/>
      <c r="D339" s="39"/>
    </row>
    <row r="340" spans="1:4" x14ac:dyDescent="0.2">
      <c r="A340" s="43"/>
      <c r="B340" s="39"/>
      <c r="C340" s="39"/>
      <c r="D340" s="39"/>
    </row>
    <row r="341" spans="1:4" x14ac:dyDescent="0.2">
      <c r="A341" s="43"/>
      <c r="B341" s="39"/>
      <c r="C341" s="39"/>
      <c r="D341" s="39"/>
    </row>
    <row r="342" spans="1:4" x14ac:dyDescent="0.2">
      <c r="A342" s="43"/>
      <c r="B342" s="39"/>
      <c r="C342" s="39"/>
      <c r="D342" s="39"/>
    </row>
    <row r="343" spans="1:4" x14ac:dyDescent="0.2">
      <c r="A343" s="43"/>
      <c r="B343" s="39"/>
      <c r="C343" s="39"/>
      <c r="D343" s="39"/>
    </row>
    <row r="344" spans="1:4" x14ac:dyDescent="0.2">
      <c r="A344" s="43"/>
      <c r="B344" s="39"/>
      <c r="C344" s="39"/>
      <c r="D344" s="39"/>
    </row>
    <row r="345" spans="1:4" x14ac:dyDescent="0.2">
      <c r="A345" s="43"/>
      <c r="B345" s="39"/>
      <c r="C345" s="39"/>
      <c r="D345" s="39"/>
    </row>
    <row r="346" spans="1:4" x14ac:dyDescent="0.2">
      <c r="A346" s="43"/>
      <c r="B346" s="39"/>
      <c r="C346" s="39"/>
      <c r="D346" s="39"/>
    </row>
    <row r="347" spans="1:4" x14ac:dyDescent="0.2">
      <c r="A347" s="43"/>
      <c r="B347" s="39"/>
      <c r="C347" s="39"/>
      <c r="D347" s="39"/>
    </row>
    <row r="348" spans="1:4" x14ac:dyDescent="0.2">
      <c r="A348" s="43"/>
      <c r="B348" s="39"/>
      <c r="C348" s="39"/>
      <c r="D348" s="39"/>
    </row>
    <row r="349" spans="1:4" x14ac:dyDescent="0.2">
      <c r="A349" s="43"/>
      <c r="B349" s="39"/>
      <c r="C349" s="39"/>
      <c r="D349" s="39"/>
    </row>
    <row r="350" spans="1:4" x14ac:dyDescent="0.2">
      <c r="A350" s="43"/>
      <c r="B350" s="39"/>
      <c r="C350" s="39"/>
      <c r="D350" s="39"/>
    </row>
    <row r="351" spans="1:4" x14ac:dyDescent="0.2">
      <c r="A351" s="43"/>
      <c r="B351" s="39"/>
      <c r="C351" s="39"/>
      <c r="D351" s="39"/>
    </row>
    <row r="352" spans="1:4" x14ac:dyDescent="0.2">
      <c r="A352" s="43"/>
      <c r="B352" s="39"/>
      <c r="C352" s="39"/>
      <c r="D352" s="39"/>
    </row>
    <row r="353" spans="1:4" x14ac:dyDescent="0.2">
      <c r="A353" s="43"/>
      <c r="B353" s="39"/>
      <c r="C353" s="39"/>
      <c r="D353" s="39"/>
    </row>
    <row r="354" spans="1:4" x14ac:dyDescent="0.2">
      <c r="A354" s="43"/>
      <c r="B354" s="39"/>
      <c r="C354" s="39"/>
      <c r="D354" s="39"/>
    </row>
    <row r="355" spans="1:4" x14ac:dyDescent="0.2">
      <c r="A355" s="43"/>
      <c r="B355" s="39"/>
      <c r="C355" s="39"/>
      <c r="D355" s="39"/>
    </row>
    <row r="356" spans="1:4" x14ac:dyDescent="0.2">
      <c r="A356" s="43"/>
      <c r="B356" s="39"/>
      <c r="C356" s="39"/>
      <c r="D356" s="39"/>
    </row>
    <row r="357" spans="1:4" x14ac:dyDescent="0.2">
      <c r="A357" s="43"/>
      <c r="B357" s="39"/>
      <c r="C357" s="39"/>
      <c r="D357" s="39"/>
    </row>
    <row r="358" spans="1:4" x14ac:dyDescent="0.2">
      <c r="A358" s="43"/>
      <c r="B358" s="39"/>
      <c r="C358" s="39"/>
      <c r="D358" s="39"/>
    </row>
    <row r="359" spans="1:4" x14ac:dyDescent="0.2">
      <c r="A359" s="43"/>
      <c r="B359" s="39"/>
      <c r="C359" s="39"/>
      <c r="D359" s="39"/>
    </row>
    <row r="360" spans="1:4" x14ac:dyDescent="0.2">
      <c r="A360" s="43"/>
      <c r="B360" s="39"/>
      <c r="C360" s="39"/>
      <c r="D360" s="39"/>
    </row>
    <row r="361" spans="1:4" x14ac:dyDescent="0.2">
      <c r="A361" s="43"/>
      <c r="B361" s="39"/>
      <c r="C361" s="39"/>
      <c r="D361" s="39"/>
    </row>
    <row r="362" spans="1:4" x14ac:dyDescent="0.2">
      <c r="A362" s="43"/>
      <c r="B362" s="39"/>
      <c r="C362" s="39"/>
      <c r="D362" s="39"/>
    </row>
    <row r="363" spans="1:4" x14ac:dyDescent="0.2">
      <c r="A363" s="43"/>
      <c r="B363" s="39"/>
      <c r="C363" s="39"/>
      <c r="D363" s="39"/>
    </row>
    <row r="364" spans="1:4" x14ac:dyDescent="0.2">
      <c r="A364" s="43"/>
      <c r="B364" s="39"/>
      <c r="C364" s="39"/>
      <c r="D364" s="39"/>
    </row>
    <row r="365" spans="1:4" x14ac:dyDescent="0.2">
      <c r="A365" s="43"/>
      <c r="B365" s="39"/>
      <c r="C365" s="39"/>
      <c r="D365" s="39"/>
    </row>
    <row r="366" spans="1:4" x14ac:dyDescent="0.2">
      <c r="A366" s="43"/>
      <c r="B366" s="39"/>
      <c r="C366" s="39"/>
      <c r="D366" s="39"/>
    </row>
    <row r="367" spans="1:4" x14ac:dyDescent="0.2">
      <c r="A367" s="43"/>
      <c r="B367" s="39"/>
      <c r="C367" s="39"/>
      <c r="D367" s="39"/>
    </row>
    <row r="368" spans="1:4" x14ac:dyDescent="0.2">
      <c r="A368" s="43"/>
      <c r="B368" s="39"/>
      <c r="C368" s="39"/>
      <c r="D368" s="39"/>
    </row>
    <row r="369" spans="1:4" x14ac:dyDescent="0.2">
      <c r="A369" s="43"/>
      <c r="B369" s="39"/>
      <c r="C369" s="39"/>
      <c r="D369" s="39"/>
    </row>
    <row r="370" spans="1:4" x14ac:dyDescent="0.2">
      <c r="A370" s="43"/>
      <c r="B370" s="39"/>
      <c r="C370" s="39"/>
      <c r="D370" s="39"/>
    </row>
    <row r="371" spans="1:4" x14ac:dyDescent="0.2">
      <c r="A371" s="43"/>
      <c r="B371" s="39"/>
      <c r="C371" s="39"/>
      <c r="D371" s="39"/>
    </row>
    <row r="372" spans="1:4" x14ac:dyDescent="0.2">
      <c r="A372" s="43"/>
      <c r="B372" s="39"/>
      <c r="C372" s="39"/>
      <c r="D372" s="39"/>
    </row>
    <row r="373" spans="1:4" x14ac:dyDescent="0.2">
      <c r="A373" s="43"/>
      <c r="B373" s="39"/>
      <c r="C373" s="39"/>
      <c r="D373" s="39"/>
    </row>
    <row r="374" spans="1:4" x14ac:dyDescent="0.2">
      <c r="A374" s="43"/>
      <c r="B374" s="39"/>
      <c r="C374" s="39"/>
      <c r="D374" s="39"/>
    </row>
    <row r="375" spans="1:4" x14ac:dyDescent="0.2">
      <c r="A375" s="43"/>
      <c r="B375" s="39"/>
      <c r="C375" s="39"/>
      <c r="D375" s="39"/>
    </row>
    <row r="376" spans="1:4" x14ac:dyDescent="0.2">
      <c r="A376" s="43"/>
      <c r="B376" s="39"/>
      <c r="C376" s="39"/>
      <c r="D376" s="39"/>
    </row>
    <row r="377" spans="1:4" x14ac:dyDescent="0.2">
      <c r="A377" s="43"/>
      <c r="B377" s="39"/>
      <c r="C377" s="39"/>
      <c r="D377" s="39"/>
    </row>
    <row r="378" spans="1:4" x14ac:dyDescent="0.2">
      <c r="A378" s="43"/>
      <c r="B378" s="39"/>
      <c r="C378" s="39"/>
      <c r="D378" s="39"/>
    </row>
    <row r="379" spans="1:4" x14ac:dyDescent="0.2">
      <c r="A379" s="43"/>
      <c r="B379" s="39"/>
      <c r="C379" s="39"/>
      <c r="D379" s="39"/>
    </row>
    <row r="380" spans="1:4" x14ac:dyDescent="0.2">
      <c r="A380" s="43"/>
      <c r="B380" s="39"/>
      <c r="C380" s="39"/>
      <c r="D380" s="39"/>
    </row>
    <row r="381" spans="1:4" x14ac:dyDescent="0.2">
      <c r="A381" s="43"/>
      <c r="B381" s="39"/>
      <c r="C381" s="39"/>
      <c r="D381" s="39"/>
    </row>
    <row r="382" spans="1:4" x14ac:dyDescent="0.2">
      <c r="A382" s="43"/>
      <c r="B382" s="39"/>
      <c r="C382" s="39"/>
      <c r="D382" s="39"/>
    </row>
    <row r="383" spans="1:4" x14ac:dyDescent="0.2">
      <c r="A383" s="43"/>
      <c r="B383" s="39"/>
      <c r="C383" s="39"/>
      <c r="D383" s="39"/>
    </row>
    <row r="384" spans="1:4" x14ac:dyDescent="0.2">
      <c r="A384" s="43"/>
      <c r="B384" s="39"/>
      <c r="C384" s="39"/>
      <c r="D384" s="39"/>
    </row>
    <row r="385" spans="1:4" x14ac:dyDescent="0.2">
      <c r="A385" s="43"/>
      <c r="B385" s="39"/>
      <c r="C385" s="39"/>
      <c r="D385" s="39"/>
    </row>
    <row r="386" spans="1:4" x14ac:dyDescent="0.2">
      <c r="A386" s="43"/>
      <c r="B386" s="39"/>
      <c r="C386" s="39"/>
      <c r="D386" s="39"/>
    </row>
    <row r="387" spans="1:4" x14ac:dyDescent="0.2">
      <c r="A387" s="43"/>
      <c r="B387" s="39"/>
      <c r="C387" s="39"/>
      <c r="D387" s="39"/>
    </row>
    <row r="388" spans="1:4" x14ac:dyDescent="0.2">
      <c r="A388" s="43"/>
      <c r="B388" s="39"/>
      <c r="C388" s="39"/>
      <c r="D388" s="39"/>
    </row>
    <row r="389" spans="1:4" x14ac:dyDescent="0.2">
      <c r="A389" s="43"/>
      <c r="B389" s="39"/>
      <c r="C389" s="39"/>
      <c r="D389" s="39"/>
    </row>
    <row r="390" spans="1:4" x14ac:dyDescent="0.2">
      <c r="A390" s="43"/>
      <c r="B390" s="39"/>
      <c r="C390" s="39"/>
      <c r="D390" s="39"/>
    </row>
    <row r="391" spans="1:4" x14ac:dyDescent="0.2">
      <c r="A391" s="43"/>
      <c r="B391" s="39"/>
      <c r="C391" s="39"/>
      <c r="D391" s="39"/>
    </row>
    <row r="392" spans="1:4" x14ac:dyDescent="0.2">
      <c r="A392" s="43"/>
      <c r="B392" s="39"/>
      <c r="C392" s="39"/>
      <c r="D392" s="39"/>
    </row>
    <row r="393" spans="1:4" x14ac:dyDescent="0.2">
      <c r="A393" s="43"/>
      <c r="B393" s="39"/>
      <c r="C393" s="39"/>
      <c r="D393" s="39"/>
    </row>
    <row r="394" spans="1:4" x14ac:dyDescent="0.2">
      <c r="A394" s="43"/>
      <c r="B394" s="39"/>
      <c r="C394" s="39"/>
      <c r="D394" s="39"/>
    </row>
    <row r="395" spans="1:4" x14ac:dyDescent="0.2">
      <c r="A395" s="43"/>
      <c r="B395" s="39"/>
      <c r="C395" s="39"/>
      <c r="D395" s="39"/>
    </row>
    <row r="396" spans="1:4" x14ac:dyDescent="0.2">
      <c r="A396" s="43"/>
      <c r="B396" s="39"/>
      <c r="C396" s="39"/>
      <c r="D396" s="39"/>
    </row>
    <row r="397" spans="1:4" x14ac:dyDescent="0.2">
      <c r="A397" s="43"/>
      <c r="B397" s="39"/>
      <c r="C397" s="39"/>
      <c r="D397" s="39"/>
    </row>
    <row r="398" spans="1:4" x14ac:dyDescent="0.2">
      <c r="A398" s="43"/>
      <c r="B398" s="39"/>
      <c r="C398" s="39"/>
      <c r="D398" s="39"/>
    </row>
    <row r="399" spans="1:4" x14ac:dyDescent="0.2">
      <c r="A399" s="43"/>
      <c r="B399" s="39"/>
      <c r="C399" s="39"/>
      <c r="D399" s="39"/>
    </row>
    <row r="400" spans="1:4" x14ac:dyDescent="0.2">
      <c r="A400" s="43"/>
      <c r="B400" s="39"/>
      <c r="C400" s="39"/>
      <c r="D400" s="39"/>
    </row>
    <row r="401" spans="1:4" x14ac:dyDescent="0.2">
      <c r="A401" s="43"/>
      <c r="B401" s="39"/>
      <c r="C401" s="39"/>
      <c r="D401" s="39"/>
    </row>
    <row r="402" spans="1:4" x14ac:dyDescent="0.2">
      <c r="A402" s="43"/>
      <c r="B402" s="39"/>
      <c r="C402" s="39"/>
      <c r="D402" s="39"/>
    </row>
    <row r="403" spans="1:4" x14ac:dyDescent="0.2">
      <c r="A403" s="43"/>
      <c r="B403" s="39"/>
      <c r="C403" s="39"/>
      <c r="D403" s="39"/>
    </row>
    <row r="404" spans="1:4" x14ac:dyDescent="0.2">
      <c r="A404" s="43"/>
      <c r="B404" s="39"/>
      <c r="C404" s="39"/>
      <c r="D404" s="39"/>
    </row>
    <row r="405" spans="1:4" x14ac:dyDescent="0.2">
      <c r="A405" s="43"/>
      <c r="B405" s="39"/>
      <c r="C405" s="39"/>
      <c r="D405" s="39"/>
    </row>
    <row r="406" spans="1:4" x14ac:dyDescent="0.2">
      <c r="A406" s="43"/>
      <c r="B406" s="39"/>
      <c r="C406" s="39"/>
      <c r="D406" s="39"/>
    </row>
    <row r="407" spans="1:4" x14ac:dyDescent="0.2">
      <c r="A407" s="43"/>
      <c r="B407" s="39"/>
      <c r="C407" s="39"/>
      <c r="D407" s="39"/>
    </row>
    <row r="408" spans="1:4" x14ac:dyDescent="0.2">
      <c r="A408" s="43"/>
      <c r="B408" s="39"/>
      <c r="C408" s="39"/>
      <c r="D408" s="39"/>
    </row>
    <row r="409" spans="1:4" x14ac:dyDescent="0.2">
      <c r="A409" s="43"/>
      <c r="B409" s="39"/>
      <c r="C409" s="39"/>
      <c r="D409" s="39"/>
    </row>
    <row r="410" spans="1:4" x14ac:dyDescent="0.2">
      <c r="A410" s="43"/>
      <c r="B410" s="39"/>
      <c r="C410" s="39"/>
      <c r="D410" s="39"/>
    </row>
    <row r="411" spans="1:4" x14ac:dyDescent="0.2">
      <c r="A411" s="43"/>
      <c r="B411" s="39"/>
      <c r="C411" s="39"/>
      <c r="D411" s="39"/>
    </row>
    <row r="412" spans="1:4" x14ac:dyDescent="0.2">
      <c r="A412" s="43"/>
      <c r="B412" s="39"/>
      <c r="C412" s="39"/>
      <c r="D412" s="39"/>
    </row>
    <row r="413" spans="1:4" x14ac:dyDescent="0.2">
      <c r="A413" s="43"/>
      <c r="B413" s="39"/>
      <c r="C413" s="39"/>
      <c r="D413" s="39"/>
    </row>
    <row r="414" spans="1:4" x14ac:dyDescent="0.2">
      <c r="A414" s="43"/>
      <c r="B414" s="39"/>
      <c r="C414" s="39"/>
      <c r="D414" s="39"/>
    </row>
    <row r="415" spans="1:4" x14ac:dyDescent="0.2">
      <c r="A415" s="43"/>
      <c r="B415" s="39"/>
      <c r="C415" s="39"/>
      <c r="D415" s="39"/>
    </row>
    <row r="416" spans="1:4" x14ac:dyDescent="0.2">
      <c r="A416" s="43"/>
      <c r="B416" s="39"/>
      <c r="C416" s="39"/>
      <c r="D416" s="39"/>
    </row>
    <row r="417" spans="1:4" x14ac:dyDescent="0.2">
      <c r="A417" s="43"/>
      <c r="B417" s="39"/>
      <c r="C417" s="39"/>
      <c r="D417" s="39"/>
    </row>
    <row r="418" spans="1:4" x14ac:dyDescent="0.2">
      <c r="A418" s="43"/>
      <c r="B418" s="39"/>
      <c r="C418" s="39"/>
      <c r="D418" s="39"/>
    </row>
    <row r="419" spans="1:4" x14ac:dyDescent="0.2">
      <c r="A419" s="43"/>
      <c r="B419" s="39"/>
      <c r="C419" s="39"/>
      <c r="D419" s="39"/>
    </row>
    <row r="420" spans="1:4" x14ac:dyDescent="0.2">
      <c r="A420" s="43"/>
      <c r="B420" s="39"/>
      <c r="C420" s="39"/>
      <c r="D420" s="39"/>
    </row>
    <row r="421" spans="1:4" x14ac:dyDescent="0.2">
      <c r="A421" s="43"/>
      <c r="B421" s="39"/>
      <c r="C421" s="39"/>
      <c r="D421" s="39"/>
    </row>
    <row r="422" spans="1:4" x14ac:dyDescent="0.2">
      <c r="A422" s="43"/>
      <c r="B422" s="39"/>
      <c r="C422" s="39"/>
      <c r="D422" s="39"/>
    </row>
    <row r="423" spans="1:4" x14ac:dyDescent="0.2">
      <c r="A423" s="43"/>
      <c r="B423" s="39"/>
      <c r="C423" s="39"/>
      <c r="D423" s="39"/>
    </row>
    <row r="424" spans="1:4" x14ac:dyDescent="0.2">
      <c r="A424" s="43"/>
      <c r="B424" s="39"/>
      <c r="C424" s="39"/>
      <c r="D424" s="39"/>
    </row>
    <row r="425" spans="1:4" x14ac:dyDescent="0.2">
      <c r="A425" s="43"/>
      <c r="B425" s="39"/>
      <c r="C425" s="39"/>
      <c r="D425" s="39"/>
    </row>
    <row r="426" spans="1:4" x14ac:dyDescent="0.2">
      <c r="A426" s="43"/>
      <c r="B426" s="39"/>
      <c r="C426" s="39"/>
      <c r="D426" s="39"/>
    </row>
    <row r="427" spans="1:4" x14ac:dyDescent="0.2">
      <c r="A427" s="43"/>
      <c r="B427" s="39"/>
      <c r="C427" s="39"/>
      <c r="D427" s="39"/>
    </row>
    <row r="428" spans="1:4" x14ac:dyDescent="0.2">
      <c r="A428" s="43"/>
      <c r="B428" s="39"/>
      <c r="C428" s="39"/>
      <c r="D428" s="39"/>
    </row>
    <row r="429" spans="1:4" x14ac:dyDescent="0.2">
      <c r="A429" s="43"/>
      <c r="B429" s="39"/>
      <c r="C429" s="39"/>
      <c r="D429" s="39"/>
    </row>
  </sheetData>
  <sortState xmlns:xlrd2="http://schemas.microsoft.com/office/spreadsheetml/2017/richdata2" ref="A3:D44">
    <sortCondition ref="A3:A44"/>
  </sortState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1313-F2A0-4CC6-A77F-8839DFABC825}">
  <sheetPr codeName="Hoja14"/>
  <dimension ref="A1:A14"/>
  <sheetViews>
    <sheetView workbookViewId="0"/>
  </sheetViews>
  <sheetFormatPr defaultColWidth="11.42578125" defaultRowHeight="15" x14ac:dyDescent="0.25"/>
  <sheetData>
    <row r="1" spans="1:1" x14ac:dyDescent="0.25">
      <c r="A1" t="s">
        <v>2</v>
      </c>
    </row>
    <row r="2" spans="1:1" x14ac:dyDescent="0.25">
      <c r="A2" t="s">
        <v>50</v>
      </c>
    </row>
    <row r="3" spans="1:1" x14ac:dyDescent="0.25">
      <c r="A3" t="s">
        <v>251</v>
      </c>
    </row>
    <row r="4" spans="1:1" x14ac:dyDescent="0.25">
      <c r="A4" t="s">
        <v>250</v>
      </c>
    </row>
    <row r="5" spans="1:1" x14ac:dyDescent="0.25">
      <c r="A5" t="s">
        <v>60</v>
      </c>
    </row>
    <row r="6" spans="1:1" x14ac:dyDescent="0.25">
      <c r="A6" t="s">
        <v>46</v>
      </c>
    </row>
    <row r="7" spans="1:1" x14ac:dyDescent="0.25">
      <c r="A7" t="s">
        <v>227</v>
      </c>
    </row>
    <row r="8" spans="1:1" x14ac:dyDescent="0.25">
      <c r="A8" t="s">
        <v>33</v>
      </c>
    </row>
    <row r="9" spans="1:1" x14ac:dyDescent="0.25">
      <c r="A9" t="s">
        <v>36</v>
      </c>
    </row>
    <row r="10" spans="1:1" x14ac:dyDescent="0.25">
      <c r="A10" t="s">
        <v>44</v>
      </c>
    </row>
    <row r="11" spans="1:1" x14ac:dyDescent="0.25">
      <c r="A11" t="s">
        <v>55</v>
      </c>
    </row>
    <row r="12" spans="1:1" x14ac:dyDescent="0.25">
      <c r="A12" t="s">
        <v>57</v>
      </c>
    </row>
    <row r="13" spans="1:1" x14ac:dyDescent="0.25">
      <c r="A13" t="s">
        <v>38</v>
      </c>
    </row>
    <row r="14" spans="1:1" x14ac:dyDescent="0.25">
      <c r="A14" t="s">
        <v>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02C7-F512-4E13-97E4-8CCC0264D97C}">
  <sheetPr codeName="Hoja19"/>
  <dimension ref="A1:A11"/>
  <sheetViews>
    <sheetView workbookViewId="0"/>
  </sheetViews>
  <sheetFormatPr defaultColWidth="11.42578125" defaultRowHeight="15" x14ac:dyDescent="0.25"/>
  <sheetData>
    <row r="1" spans="1:1" x14ac:dyDescent="0.25">
      <c r="A1" t="s">
        <v>264</v>
      </c>
    </row>
    <row r="2" spans="1:1" x14ac:dyDescent="0.25">
      <c r="A2" s="7">
        <v>46143</v>
      </c>
    </row>
    <row r="3" spans="1:1" x14ac:dyDescent="0.25">
      <c r="A3" s="7">
        <v>46113</v>
      </c>
    </row>
    <row r="4" spans="1:1" x14ac:dyDescent="0.25">
      <c r="A4" s="7">
        <v>46082</v>
      </c>
    </row>
    <row r="5" spans="1:1" x14ac:dyDescent="0.25">
      <c r="A5" s="7">
        <v>46054</v>
      </c>
    </row>
    <row r="6" spans="1:1" x14ac:dyDescent="0.25">
      <c r="A6" s="7">
        <v>46023</v>
      </c>
    </row>
    <row r="7" spans="1:1" x14ac:dyDescent="0.25">
      <c r="A7" s="7">
        <v>45992</v>
      </c>
    </row>
    <row r="8" spans="1:1" x14ac:dyDescent="0.25">
      <c r="A8" s="7">
        <v>45962</v>
      </c>
    </row>
    <row r="9" spans="1:1" x14ac:dyDescent="0.25">
      <c r="A9" s="7">
        <v>45931</v>
      </c>
    </row>
    <row r="10" spans="1:1" x14ac:dyDescent="0.25">
      <c r="A10" s="7">
        <v>45901</v>
      </c>
    </row>
    <row r="11" spans="1:1" x14ac:dyDescent="0.25">
      <c r="A11" s="7">
        <v>45870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B64F-FA02-40C0-A43B-7C7E315F4C2D}">
  <dimension ref="A3:S11"/>
  <sheetViews>
    <sheetView workbookViewId="0"/>
  </sheetViews>
  <sheetFormatPr defaultRowHeight="15" x14ac:dyDescent="0.25"/>
  <sheetData>
    <row r="3" spans="1:19" x14ac:dyDescent="0.25">
      <c r="A3" t="s">
        <v>60</v>
      </c>
      <c r="B3" t="s">
        <v>61</v>
      </c>
      <c r="C3" t="s">
        <v>53</v>
      </c>
      <c r="D3" t="s">
        <v>25</v>
      </c>
      <c r="E3" s="27">
        <v>45870</v>
      </c>
      <c r="F3">
        <v>2</v>
      </c>
      <c r="G3">
        <v>6776.415</v>
      </c>
      <c r="H3">
        <v>6776.415</v>
      </c>
      <c r="I3">
        <v>13552.83</v>
      </c>
      <c r="J3">
        <v>13552.83</v>
      </c>
      <c r="K3">
        <v>0</v>
      </c>
      <c r="L3">
        <v>0</v>
      </c>
      <c r="M3">
        <v>0</v>
      </c>
      <c r="N3">
        <v>0</v>
      </c>
      <c r="O3">
        <v>-13552.83</v>
      </c>
      <c r="P3">
        <v>-13552.83</v>
      </c>
      <c r="Q3">
        <v>-1</v>
      </c>
      <c r="R3">
        <v>0</v>
      </c>
      <c r="S3" t="s">
        <v>436</v>
      </c>
    </row>
    <row r="4" spans="1:19" x14ac:dyDescent="0.25">
      <c r="A4" t="s">
        <v>55</v>
      </c>
      <c r="B4" t="s">
        <v>56</v>
      </c>
      <c r="C4" t="s">
        <v>53</v>
      </c>
      <c r="D4" t="s">
        <v>25</v>
      </c>
      <c r="E4" s="27">
        <v>45870</v>
      </c>
      <c r="F4">
        <v>3</v>
      </c>
      <c r="G4">
        <v>4057.7933333333331</v>
      </c>
      <c r="H4">
        <v>4057.7933333333331</v>
      </c>
      <c r="I4">
        <v>12173.38</v>
      </c>
      <c r="J4">
        <v>12173.38</v>
      </c>
      <c r="K4">
        <v>0</v>
      </c>
      <c r="L4">
        <v>0</v>
      </c>
      <c r="M4">
        <v>0</v>
      </c>
      <c r="N4">
        <v>0</v>
      </c>
      <c r="O4">
        <v>-12173.38</v>
      </c>
      <c r="P4">
        <v>-12173.38</v>
      </c>
      <c r="Q4">
        <v>-1</v>
      </c>
      <c r="R4">
        <v>0</v>
      </c>
      <c r="S4" t="s">
        <v>436</v>
      </c>
    </row>
    <row r="5" spans="1:19" x14ac:dyDescent="0.25">
      <c r="A5" t="s">
        <v>44</v>
      </c>
      <c r="B5" t="s">
        <v>45</v>
      </c>
      <c r="C5" t="s">
        <v>34</v>
      </c>
      <c r="D5" t="s">
        <v>81</v>
      </c>
      <c r="E5" s="27">
        <v>45874</v>
      </c>
      <c r="F5">
        <v>3</v>
      </c>
      <c r="G5">
        <v>7.4974999999999996</v>
      </c>
      <c r="H5">
        <v>4057.7933333333331</v>
      </c>
      <c r="I5">
        <v>22.4925</v>
      </c>
      <c r="J5">
        <v>0</v>
      </c>
      <c r="K5">
        <v>0</v>
      </c>
      <c r="L5">
        <v>0</v>
      </c>
      <c r="M5">
        <v>0</v>
      </c>
      <c r="N5">
        <v>0</v>
      </c>
      <c r="O5">
        <v>-22.4925</v>
      </c>
      <c r="P5">
        <v>0</v>
      </c>
      <c r="Q5">
        <v>-1</v>
      </c>
      <c r="R5">
        <v>0</v>
      </c>
      <c r="S5" t="s">
        <v>436</v>
      </c>
    </row>
    <row r="6" spans="1:19" x14ac:dyDescent="0.25">
      <c r="A6" t="s">
        <v>52</v>
      </c>
      <c r="B6" t="s">
        <v>54</v>
      </c>
      <c r="C6" t="s">
        <v>53</v>
      </c>
      <c r="D6" t="s">
        <v>81</v>
      </c>
      <c r="E6" s="27">
        <v>45877</v>
      </c>
      <c r="F6">
        <v>1</v>
      </c>
      <c r="G6">
        <v>34.68</v>
      </c>
      <c r="H6">
        <v>4057.7933333333331</v>
      </c>
      <c r="I6">
        <v>34.68</v>
      </c>
      <c r="J6">
        <v>0</v>
      </c>
      <c r="K6">
        <v>0</v>
      </c>
      <c r="L6">
        <v>0</v>
      </c>
      <c r="M6">
        <v>0</v>
      </c>
      <c r="N6">
        <v>0</v>
      </c>
      <c r="O6">
        <v>-34.68</v>
      </c>
      <c r="P6">
        <v>0</v>
      </c>
      <c r="Q6">
        <v>-1</v>
      </c>
      <c r="R6">
        <v>0</v>
      </c>
      <c r="S6" t="s">
        <v>436</v>
      </c>
    </row>
    <row r="7" spans="1:19" x14ac:dyDescent="0.25">
      <c r="A7" t="s">
        <v>50</v>
      </c>
      <c r="B7" t="s">
        <v>51</v>
      </c>
      <c r="C7" t="s">
        <v>34</v>
      </c>
      <c r="D7" t="s">
        <v>81</v>
      </c>
      <c r="E7" s="27">
        <v>45881</v>
      </c>
      <c r="F7">
        <v>3</v>
      </c>
      <c r="G7">
        <v>11.783333333333333</v>
      </c>
      <c r="H7">
        <v>4057.7933333333331</v>
      </c>
      <c r="I7">
        <v>35.35</v>
      </c>
      <c r="J7">
        <v>0</v>
      </c>
      <c r="K7">
        <v>0</v>
      </c>
      <c r="L7">
        <v>0</v>
      </c>
      <c r="M7">
        <v>0</v>
      </c>
      <c r="N7">
        <v>0</v>
      </c>
      <c r="O7">
        <v>-35.35</v>
      </c>
      <c r="P7">
        <v>0</v>
      </c>
      <c r="Q7">
        <v>-1</v>
      </c>
      <c r="R7">
        <v>0</v>
      </c>
      <c r="S7" t="s">
        <v>436</v>
      </c>
    </row>
    <row r="8" spans="1:19" x14ac:dyDescent="0.25">
      <c r="A8" t="s">
        <v>38</v>
      </c>
      <c r="B8" t="s">
        <v>40</v>
      </c>
      <c r="C8" t="s">
        <v>39</v>
      </c>
      <c r="D8" t="s">
        <v>85</v>
      </c>
      <c r="E8" s="27">
        <v>46113</v>
      </c>
      <c r="F8">
        <v>6000</v>
      </c>
      <c r="G8">
        <v>1.0049999999999999</v>
      </c>
      <c r="H8">
        <v>4057.7933333333331</v>
      </c>
      <c r="I8">
        <v>6030</v>
      </c>
      <c r="J8">
        <v>0</v>
      </c>
      <c r="K8">
        <v>0</v>
      </c>
      <c r="L8">
        <v>0</v>
      </c>
      <c r="M8">
        <v>0</v>
      </c>
      <c r="N8">
        <v>0</v>
      </c>
      <c r="O8">
        <v>-6030</v>
      </c>
      <c r="P8">
        <v>0</v>
      </c>
      <c r="Q8">
        <v>-1</v>
      </c>
      <c r="R8">
        <v>0</v>
      </c>
      <c r="S8" t="s">
        <v>436</v>
      </c>
    </row>
    <row r="9" spans="1:19" x14ac:dyDescent="0.25">
      <c r="A9" t="s">
        <v>36</v>
      </c>
      <c r="B9" t="s">
        <v>37</v>
      </c>
      <c r="C9" t="s">
        <v>34</v>
      </c>
      <c r="D9" t="s">
        <v>81</v>
      </c>
      <c r="E9" s="27">
        <v>46113</v>
      </c>
      <c r="F9">
        <v>42</v>
      </c>
      <c r="G9">
        <v>25.317380952380951</v>
      </c>
      <c r="H9">
        <v>4057.7933333333331</v>
      </c>
      <c r="I9">
        <v>1063.33</v>
      </c>
      <c r="J9">
        <v>0</v>
      </c>
      <c r="K9">
        <v>0</v>
      </c>
      <c r="L9">
        <v>0</v>
      </c>
      <c r="M9">
        <v>0</v>
      </c>
      <c r="N9">
        <v>0</v>
      </c>
      <c r="O9">
        <v>-1063.33</v>
      </c>
      <c r="P9">
        <v>0</v>
      </c>
      <c r="Q9">
        <v>-1</v>
      </c>
      <c r="R9">
        <v>0</v>
      </c>
      <c r="S9" t="s">
        <v>436</v>
      </c>
    </row>
    <row r="10" spans="1:19" x14ac:dyDescent="0.25">
      <c r="A10" t="s">
        <v>33</v>
      </c>
      <c r="B10" t="s">
        <v>35</v>
      </c>
      <c r="C10" t="s">
        <v>34</v>
      </c>
      <c r="D10" t="s">
        <v>81</v>
      </c>
      <c r="E10" s="27">
        <v>46122</v>
      </c>
      <c r="F10">
        <v>33</v>
      </c>
      <c r="G10">
        <v>16.196060606060605</v>
      </c>
      <c r="H10">
        <v>4057.7933333333331</v>
      </c>
      <c r="I10">
        <v>534.47</v>
      </c>
      <c r="J10">
        <v>0</v>
      </c>
      <c r="K10">
        <v>0</v>
      </c>
      <c r="L10">
        <v>0</v>
      </c>
      <c r="M10">
        <v>0</v>
      </c>
      <c r="N10">
        <v>0</v>
      </c>
      <c r="O10">
        <v>-534.47</v>
      </c>
      <c r="P10">
        <v>0</v>
      </c>
      <c r="Q10">
        <v>-1</v>
      </c>
      <c r="R10">
        <v>0</v>
      </c>
      <c r="S10" t="s">
        <v>436</v>
      </c>
    </row>
    <row r="11" spans="1:19" x14ac:dyDescent="0.25">
      <c r="A11" t="s">
        <v>227</v>
      </c>
      <c r="B11" t="s">
        <v>228</v>
      </c>
      <c r="C11" t="s">
        <v>39</v>
      </c>
      <c r="D11" t="s">
        <v>81</v>
      </c>
      <c r="E11" s="27">
        <v>46149</v>
      </c>
      <c r="F11">
        <v>2000</v>
      </c>
      <c r="G11">
        <v>1.0049999999999999</v>
      </c>
      <c r="H11">
        <v>4057.7933333333331</v>
      </c>
      <c r="I11">
        <v>2010</v>
      </c>
      <c r="J11">
        <v>0</v>
      </c>
      <c r="K11">
        <v>0</v>
      </c>
      <c r="L11">
        <v>0</v>
      </c>
      <c r="M11">
        <v>0</v>
      </c>
      <c r="N11">
        <v>0</v>
      </c>
      <c r="O11">
        <v>-2010</v>
      </c>
      <c r="P11">
        <v>0</v>
      </c>
      <c r="Q11">
        <v>-1</v>
      </c>
      <c r="R11">
        <v>0</v>
      </c>
      <c r="S1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Instructions</vt:lpstr>
      <vt:lpstr>Price_Input</vt:lpstr>
      <vt:lpstr>Summary</vt:lpstr>
      <vt:lpstr>Ticker_Performance</vt:lpstr>
      <vt:lpstr>Monthly_Performance</vt:lpstr>
      <vt:lpstr>Annual_Performance</vt:lpstr>
      <vt:lpstr>Closed_Positions</vt:lpstr>
      <vt:lpstr>Transactions</vt:lpstr>
      <vt:lpstr>Corporate_Actions</vt:lpstr>
      <vt:lpstr>Taxes</vt:lpstr>
      <vt:lpstr>Cash_Ledger</vt:lpstr>
      <vt:lpstr>Price_History</vt:lpstr>
      <vt:lpstr>FX_History</vt:lpstr>
      <vt:lpstr>Cash_History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Camila Berzano</cp:lastModifiedBy>
  <cp:revision>0</cp:revision>
  <dcterms:created xsi:type="dcterms:W3CDTF">2026-04-30T20:40:25Z</dcterms:created>
  <dcterms:modified xsi:type="dcterms:W3CDTF">2026-06-01T19:18:15Z</dcterms:modified>
  <dc:language>en-US</dc:language>
</cp:coreProperties>
</file>